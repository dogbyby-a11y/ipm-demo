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ogby\Desktop\IPM_map\Test1\"/>
    </mc:Choice>
  </mc:AlternateContent>
  <xr:revisionPtr revIDLastSave="0" documentId="13_ncr:1_{A21695B3-08A7-4BD3-8B31-0E135D07AD57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기본정보" sheetId="1" r:id="rId1"/>
    <sheet name="모니터링결과" sheetId="2" r:id="rId2"/>
    <sheet name="Flouris용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63COK1gzTp+Cs+bFdFMvLsomANhUZTvV4QWh9oyq9os="/>
    </ext>
  </extLst>
</workbook>
</file>

<file path=xl/calcChain.xml><?xml version="1.0" encoding="utf-8"?>
<calcChain xmlns="http://schemas.openxmlformats.org/spreadsheetml/2006/main">
  <c r="B3" i="3" l="1"/>
  <c r="C3" i="3"/>
  <c r="D3" i="3"/>
  <c r="E3" i="3"/>
  <c r="F3" i="3"/>
  <c r="G3" i="3"/>
  <c r="H3" i="3" a="1"/>
  <c r="H3" i="3" s="1"/>
  <c r="B4" i="3"/>
  <c r="C4" i="3"/>
  <c r="D4" i="3"/>
  <c r="E4" i="3"/>
  <c r="F4" i="3"/>
  <c r="G4" i="3"/>
  <c r="H4" i="3" a="1"/>
  <c r="H4" i="3" s="1"/>
  <c r="B5" i="3"/>
  <c r="C5" i="3"/>
  <c r="D5" i="3"/>
  <c r="E5" i="3"/>
  <c r="F5" i="3"/>
  <c r="G5" i="3"/>
  <c r="H5" i="3" a="1"/>
  <c r="H5" i="3" s="1"/>
  <c r="B6" i="3"/>
  <c r="C6" i="3"/>
  <c r="D6" i="3"/>
  <c r="E6" i="3"/>
  <c r="F6" i="3"/>
  <c r="G6" i="3"/>
  <c r="H6" i="3" a="1"/>
  <c r="H6" i="3" s="1"/>
  <c r="B7" i="3"/>
  <c r="C7" i="3"/>
  <c r="D7" i="3"/>
  <c r="E7" i="3"/>
  <c r="F7" i="3"/>
  <c r="G7" i="3"/>
  <c r="H7" i="3" a="1"/>
  <c r="H7" i="3" s="1"/>
  <c r="B8" i="3"/>
  <c r="C8" i="3"/>
  <c r="D8" i="3"/>
  <c r="E8" i="3"/>
  <c r="F8" i="3"/>
  <c r="G8" i="3"/>
  <c r="H8" i="3" a="1"/>
  <c r="H8" i="3" s="1"/>
  <c r="B9" i="3"/>
  <c r="C9" i="3"/>
  <c r="D9" i="3"/>
  <c r="E9" i="3"/>
  <c r="F9" i="3"/>
  <c r="G9" i="3"/>
  <c r="H9" i="3" a="1"/>
  <c r="H9" i="3" s="1"/>
  <c r="B10" i="3"/>
  <c r="C10" i="3"/>
  <c r="D10" i="3"/>
  <c r="E10" i="3"/>
  <c r="F10" i="3"/>
  <c r="G10" i="3"/>
  <c r="H10" i="3" a="1"/>
  <c r="H10" i="3" s="1"/>
  <c r="B11" i="3"/>
  <c r="C11" i="3"/>
  <c r="D11" i="3"/>
  <c r="E11" i="3"/>
  <c r="F11" i="3"/>
  <c r="G11" i="3"/>
  <c r="H11" i="3" a="1"/>
  <c r="H11" i="3" s="1"/>
  <c r="B12" i="3"/>
  <c r="C12" i="3"/>
  <c r="D12" i="3"/>
  <c r="E12" i="3"/>
  <c r="F12" i="3"/>
  <c r="G12" i="3"/>
  <c r="H12" i="3" a="1"/>
  <c r="H12" i="3" s="1"/>
  <c r="B13" i="3"/>
  <c r="C13" i="3"/>
  <c r="D13" i="3"/>
  <c r="E13" i="3"/>
  <c r="F13" i="3"/>
  <c r="G13" i="3"/>
  <c r="H13" i="3" a="1"/>
  <c r="H13" i="3" s="1"/>
  <c r="B14" i="3"/>
  <c r="C14" i="3"/>
  <c r="D14" i="3"/>
  <c r="E14" i="3"/>
  <c r="F14" i="3"/>
  <c r="G14" i="3"/>
  <c r="H14" i="3" a="1"/>
  <c r="H14" i="3" s="1"/>
  <c r="B15" i="3"/>
  <c r="C15" i="3"/>
  <c r="D15" i="3"/>
  <c r="E15" i="3"/>
  <c r="F15" i="3"/>
  <c r="G15" i="3"/>
  <c r="H15" i="3" a="1"/>
  <c r="H15" i="3" s="1"/>
  <c r="B16" i="3"/>
  <c r="C16" i="3"/>
  <c r="D16" i="3"/>
  <c r="E16" i="3"/>
  <c r="F16" i="3"/>
  <c r="G16" i="3"/>
  <c r="H16" i="3" a="1"/>
  <c r="H16" i="3" s="1"/>
  <c r="B17" i="3"/>
  <c r="C17" i="3"/>
  <c r="D17" i="3"/>
  <c r="E17" i="3"/>
  <c r="F17" i="3"/>
  <c r="G17" i="3"/>
  <c r="H17" i="3" a="1"/>
  <c r="H17" i="3" s="1"/>
  <c r="B18" i="3"/>
  <c r="C18" i="3"/>
  <c r="D18" i="3"/>
  <c r="E18" i="3"/>
  <c r="F18" i="3"/>
  <c r="G18" i="3"/>
  <c r="H18" i="3" a="1"/>
  <c r="H18" i="3" s="1"/>
  <c r="B19" i="3"/>
  <c r="C19" i="3"/>
  <c r="D19" i="3"/>
  <c r="E19" i="3"/>
  <c r="F19" i="3"/>
  <c r="G19" i="3"/>
  <c r="H19" i="3" a="1"/>
  <c r="H19" i="3" s="1"/>
  <c r="B20" i="3"/>
  <c r="C20" i="3"/>
  <c r="D20" i="3"/>
  <c r="E20" i="3"/>
  <c r="F20" i="3"/>
  <c r="G20" i="3"/>
  <c r="H20" i="3" a="1"/>
  <c r="H20" i="3" s="1"/>
  <c r="B21" i="3"/>
  <c r="C21" i="3"/>
  <c r="D21" i="3"/>
  <c r="E21" i="3"/>
  <c r="F21" i="3"/>
  <c r="G21" i="3"/>
  <c r="H21" i="3" a="1"/>
  <c r="H21" i="3" s="1"/>
  <c r="B22" i="3"/>
  <c r="C22" i="3"/>
  <c r="D22" i="3"/>
  <c r="E22" i="3"/>
  <c r="F22" i="3"/>
  <c r="G22" i="3"/>
  <c r="H22" i="3" a="1"/>
  <c r="H22" i="3" s="1"/>
  <c r="B23" i="3"/>
  <c r="C23" i="3"/>
  <c r="D23" i="3"/>
  <c r="E23" i="3"/>
  <c r="F23" i="3"/>
  <c r="G23" i="3"/>
  <c r="H23" i="3" a="1"/>
  <c r="H23" i="3" s="1"/>
  <c r="B24" i="3"/>
  <c r="C24" i="3"/>
  <c r="D24" i="3"/>
  <c r="E24" i="3"/>
  <c r="F24" i="3"/>
  <c r="G24" i="3"/>
  <c r="H24" i="3" a="1"/>
  <c r="H24" i="3" s="1"/>
  <c r="B25" i="3"/>
  <c r="C25" i="3"/>
  <c r="D25" i="3"/>
  <c r="E25" i="3"/>
  <c r="F25" i="3"/>
  <c r="G25" i="3"/>
  <c r="H25" i="3" a="1"/>
  <c r="H25" i="3" s="1"/>
  <c r="B26" i="3"/>
  <c r="C26" i="3"/>
  <c r="D26" i="3"/>
  <c r="E26" i="3"/>
  <c r="F26" i="3"/>
  <c r="G26" i="3"/>
  <c r="H26" i="3" a="1"/>
  <c r="H26" i="3" s="1"/>
  <c r="B27" i="3"/>
  <c r="C27" i="3"/>
  <c r="D27" i="3"/>
  <c r="E27" i="3"/>
  <c r="F27" i="3"/>
  <c r="G27" i="3"/>
  <c r="H27" i="3" a="1"/>
  <c r="H27" i="3" s="1"/>
  <c r="B28" i="3"/>
  <c r="C28" i="3"/>
  <c r="D28" i="3"/>
  <c r="E28" i="3"/>
  <c r="F28" i="3"/>
  <c r="G28" i="3"/>
  <c r="H28" i="3" a="1"/>
  <c r="H28" i="3" s="1"/>
  <c r="B29" i="3"/>
  <c r="C29" i="3"/>
  <c r="D29" i="3"/>
  <c r="E29" i="3"/>
  <c r="F29" i="3"/>
  <c r="G29" i="3"/>
  <c r="H29" i="3" a="1"/>
  <c r="H29" i="3" s="1"/>
  <c r="B30" i="3"/>
  <c r="C30" i="3"/>
  <c r="D30" i="3"/>
  <c r="E30" i="3"/>
  <c r="F30" i="3"/>
  <c r="G30" i="3"/>
  <c r="H30" i="3" a="1"/>
  <c r="H30" i="3" s="1"/>
  <c r="B31" i="3"/>
  <c r="C31" i="3"/>
  <c r="D31" i="3"/>
  <c r="E31" i="3"/>
  <c r="F31" i="3"/>
  <c r="G31" i="3"/>
  <c r="H31" i="3" a="1"/>
  <c r="H31" i="3" s="1"/>
  <c r="B32" i="3"/>
  <c r="C32" i="3"/>
  <c r="D32" i="3"/>
  <c r="E32" i="3"/>
  <c r="F32" i="3"/>
  <c r="G32" i="3"/>
  <c r="H32" i="3" a="1"/>
  <c r="H32" i="3" s="1"/>
  <c r="B33" i="3"/>
  <c r="C33" i="3"/>
  <c r="D33" i="3"/>
  <c r="E33" i="3"/>
  <c r="F33" i="3"/>
  <c r="G33" i="3"/>
  <c r="H33" i="3" a="1"/>
  <c r="H33" i="3" s="1"/>
  <c r="B34" i="3"/>
  <c r="C34" i="3"/>
  <c r="D34" i="3"/>
  <c r="E34" i="3"/>
  <c r="F34" i="3"/>
  <c r="G34" i="3"/>
  <c r="H34" i="3" a="1"/>
  <c r="H34" i="3" s="1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2" i="3"/>
  <c r="G2" i="3" l="1"/>
  <c r="F2" i="3"/>
  <c r="E2" i="3"/>
  <c r="D2" i="3"/>
  <c r="C2" i="3"/>
  <c r="B2" i="3"/>
  <c r="H2" i="3" l="1" a="1"/>
  <c r="H2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<sst xmlns="http://schemas.openxmlformats.org/spreadsheetml/2006/main" count="1338" uniqueCount="250">
  <si>
    <t>기본정보ID</t>
  </si>
  <si>
    <t>모니터링 차수</t>
  </si>
  <si>
    <t>시작일자</t>
  </si>
  <si>
    <t>종료일자</t>
  </si>
  <si>
    <t>장소1</t>
  </si>
  <si>
    <t>장소2</t>
  </si>
  <si>
    <t>장소3</t>
  </si>
  <si>
    <t>트랩번호</t>
  </si>
  <si>
    <t>트랩유형</t>
  </si>
  <si>
    <t>조사기관</t>
  </si>
  <si>
    <t>data_0001</t>
  </si>
  <si>
    <t>모니터링 1차</t>
  </si>
  <si>
    <t>2026-03-12</t>
  </si>
  <si>
    <t>2026-05-11</t>
  </si>
  <si>
    <t>부산박물관</t>
  </si>
  <si>
    <t>지하1층</t>
  </si>
  <si>
    <t>전실 1</t>
  </si>
  <si>
    <t>C01</t>
  </si>
  <si>
    <t>C트랩</t>
  </si>
  <si>
    <t>모던헤리티지</t>
  </si>
  <si>
    <t>data_0002</t>
  </si>
  <si>
    <t>C02</t>
  </si>
  <si>
    <t>data_0003</t>
  </si>
  <si>
    <t>수장고 3</t>
  </si>
  <si>
    <t>C03</t>
  </si>
  <si>
    <t>data_0004</t>
  </si>
  <si>
    <t>C04</t>
  </si>
  <si>
    <t>data_0005</t>
  </si>
  <si>
    <t>C05</t>
  </si>
  <si>
    <t>data_0006</t>
  </si>
  <si>
    <t>C06</t>
  </si>
  <si>
    <t>data_0007</t>
  </si>
  <si>
    <t>C07</t>
  </si>
  <si>
    <t>data_0008</t>
  </si>
  <si>
    <t>C08</t>
  </si>
  <si>
    <t>data_0009</t>
  </si>
  <si>
    <t>C09</t>
  </si>
  <si>
    <t>data_0010</t>
  </si>
  <si>
    <t>C10</t>
  </si>
  <si>
    <t>data_0011</t>
  </si>
  <si>
    <t>C11</t>
  </si>
  <si>
    <t>data_0012</t>
  </si>
  <si>
    <t>C12</t>
  </si>
  <si>
    <t>data_0013</t>
  </si>
  <si>
    <t>수장고 3(복층)</t>
  </si>
  <si>
    <t>C13</t>
  </si>
  <si>
    <t>data_0014</t>
  </si>
  <si>
    <t>C14</t>
  </si>
  <si>
    <t>data_0015</t>
  </si>
  <si>
    <t>C15</t>
  </si>
  <si>
    <t>data_0016</t>
  </si>
  <si>
    <t>C16</t>
  </si>
  <si>
    <t>data_0017</t>
  </si>
  <si>
    <t>C17</t>
  </si>
  <si>
    <t>data_0018</t>
  </si>
  <si>
    <t>C18</t>
  </si>
  <si>
    <t>data_0019</t>
  </si>
  <si>
    <t>C19</t>
  </si>
  <si>
    <t>data_0020</t>
  </si>
  <si>
    <t>수장고 2</t>
  </si>
  <si>
    <t>C20</t>
  </si>
  <si>
    <t>data_0021</t>
  </si>
  <si>
    <t>C21</t>
  </si>
  <si>
    <t>data_0022</t>
  </si>
  <si>
    <t>C22</t>
  </si>
  <si>
    <t>data_0023</t>
  </si>
  <si>
    <t>C23</t>
  </si>
  <si>
    <t>data_0024</t>
  </si>
  <si>
    <t>C24</t>
  </si>
  <si>
    <t>data_0025</t>
  </si>
  <si>
    <t>C25</t>
  </si>
  <si>
    <t>data_0026</t>
  </si>
  <si>
    <t>C26</t>
  </si>
  <si>
    <t>data_0027</t>
  </si>
  <si>
    <t>C27</t>
  </si>
  <si>
    <t>data_0028</t>
  </si>
  <si>
    <t>C28</t>
  </si>
  <si>
    <t>data_0029</t>
  </si>
  <si>
    <t>수장고 2(복층)</t>
  </si>
  <si>
    <t>C29</t>
  </si>
  <si>
    <t>data_0030</t>
  </si>
  <si>
    <t>C30</t>
  </si>
  <si>
    <t>data_0031</t>
  </si>
  <si>
    <t>C31</t>
  </si>
  <si>
    <t>data_0032</t>
  </si>
  <si>
    <t>C32</t>
  </si>
  <si>
    <t>data_0033</t>
  </si>
  <si>
    <t>C33</t>
  </si>
  <si>
    <t>data_0034</t>
  </si>
  <si>
    <t>C34</t>
  </si>
  <si>
    <t>data_0035</t>
  </si>
  <si>
    <t>C35</t>
  </si>
  <si>
    <t>data_0036</t>
  </si>
  <si>
    <t>수장고 1</t>
  </si>
  <si>
    <t>C36</t>
  </si>
  <si>
    <t>data_0037</t>
  </si>
  <si>
    <t>C37</t>
  </si>
  <si>
    <t>data_0038</t>
  </si>
  <si>
    <t>C38</t>
  </si>
  <si>
    <t>data_0039</t>
  </si>
  <si>
    <t>C39</t>
  </si>
  <si>
    <t>data_0040</t>
  </si>
  <si>
    <t>C40</t>
  </si>
  <si>
    <t>data_0041</t>
  </si>
  <si>
    <t>C41</t>
  </si>
  <si>
    <t>data_0042</t>
  </si>
  <si>
    <t>C42</t>
  </si>
  <si>
    <t>data_0043</t>
  </si>
  <si>
    <t>수장고 1(복층)</t>
  </si>
  <si>
    <t>C43</t>
  </si>
  <si>
    <t>data_0044</t>
  </si>
  <si>
    <t>C44</t>
  </si>
  <si>
    <t>data_0045</t>
  </si>
  <si>
    <t>C45</t>
  </si>
  <si>
    <t>data_0046</t>
  </si>
  <si>
    <t>C46</t>
  </si>
  <si>
    <t>data_0047</t>
  </si>
  <si>
    <t>C47</t>
  </si>
  <si>
    <t>data_0048</t>
  </si>
  <si>
    <t>복도</t>
  </si>
  <si>
    <t>C48</t>
  </si>
  <si>
    <t>data_0049</t>
  </si>
  <si>
    <t>C49</t>
  </si>
  <si>
    <t>data_0050</t>
  </si>
  <si>
    <t>C50</t>
  </si>
  <si>
    <t>data_0051</t>
  </si>
  <si>
    <t>C51</t>
  </si>
  <si>
    <t>data_0052</t>
  </si>
  <si>
    <t>C52</t>
  </si>
  <si>
    <t>data_0053</t>
  </si>
  <si>
    <t>C53</t>
  </si>
  <si>
    <t>data_0054</t>
  </si>
  <si>
    <t>C54</t>
  </si>
  <si>
    <t>data_0055</t>
  </si>
  <si>
    <t>C55</t>
  </si>
  <si>
    <t>data_0056</t>
  </si>
  <si>
    <t>C56</t>
  </si>
  <si>
    <t>data_0057</t>
  </si>
  <si>
    <t>C57</t>
  </si>
  <si>
    <t>data_0058</t>
  </si>
  <si>
    <t>C58</t>
  </si>
  <si>
    <t>data_0059</t>
  </si>
  <si>
    <t>C59</t>
  </si>
  <si>
    <t>data_0060</t>
  </si>
  <si>
    <t>C60</t>
  </si>
  <si>
    <t>data_0061</t>
  </si>
  <si>
    <t>F01</t>
  </si>
  <si>
    <t>F트랩</t>
  </si>
  <si>
    <t>data_0062</t>
  </si>
  <si>
    <t>F02</t>
  </si>
  <si>
    <t>data_0063</t>
  </si>
  <si>
    <t>F03</t>
  </si>
  <si>
    <t>data_0064</t>
  </si>
  <si>
    <t>F04</t>
  </si>
  <si>
    <t>모니터링결과ID</t>
  </si>
  <si>
    <t>국가생물종목록ID</t>
  </si>
  <si>
    <t>순번</t>
  </si>
  <si>
    <t>강</t>
  </si>
  <si>
    <t>목</t>
  </si>
  <si>
    <t>과</t>
  </si>
  <si>
    <t>국명</t>
  </si>
  <si>
    <t>학명</t>
  </si>
  <si>
    <t>유해생물 유형</t>
  </si>
  <si>
    <t>개체수</t>
  </si>
  <si>
    <t>트랩 유형</t>
  </si>
  <si>
    <t>해충사진</t>
  </si>
  <si>
    <t>a7730e50</t>
  </si>
  <si>
    <t>1</t>
  </si>
  <si>
    <t>거미강</t>
  </si>
  <si>
    <t>거미목</t>
  </si>
  <si>
    <t>꼬마거미과</t>
  </si>
  <si>
    <t>꼬마거미류</t>
  </si>
  <si>
    <t>Theridiida sp.</t>
  </si>
  <si>
    <t>간접가해해충</t>
  </si>
  <si>
    <t>1c464e24</t>
  </si>
  <si>
    <t/>
  </si>
  <si>
    <t>8c06f51c</t>
  </si>
  <si>
    <t>12be2d29</t>
  </si>
  <si>
    <t>2</t>
  </si>
  <si>
    <t>곤충강</t>
  </si>
  <si>
    <t>파리목</t>
  </si>
  <si>
    <t>나방파리과</t>
  </si>
  <si>
    <t>나방파리류</t>
  </si>
  <si>
    <t>psychoda sp.</t>
  </si>
  <si>
    <t>위생해충</t>
  </si>
  <si>
    <t>2f8d9355</t>
  </si>
  <si>
    <t>다듬이벌레목</t>
  </si>
  <si>
    <t>다듬이벌레류</t>
  </si>
  <si>
    <t>psocodea spp.</t>
  </si>
  <si>
    <t>직접가해해충</t>
  </si>
  <si>
    <t>947ae121</t>
  </si>
  <si>
    <t>8a3a39f7</t>
  </si>
  <si>
    <t>ccbd238e</t>
  </si>
  <si>
    <t>2f0c51f9</t>
  </si>
  <si>
    <t>3</t>
  </si>
  <si>
    <t>e2cf81f3</t>
  </si>
  <si>
    <t>718ef91e</t>
  </si>
  <si>
    <t>풀거미과</t>
  </si>
  <si>
    <t>집가게거미</t>
  </si>
  <si>
    <t>Tegenaria domestica</t>
  </si>
  <si>
    <t>b2fa9190</t>
  </si>
  <si>
    <t>d0364f3c</t>
  </si>
  <si>
    <t>f85153f7</t>
  </si>
  <si>
    <t>2572effa</t>
  </si>
  <si>
    <t>00ef214f</t>
  </si>
  <si>
    <t>62b03bad</t>
  </si>
  <si>
    <t>유령거미과</t>
  </si>
  <si>
    <t>집유령거미</t>
  </si>
  <si>
    <t>Pholcus phalangioides</t>
  </si>
  <si>
    <t>c3dca085</t>
  </si>
  <si>
    <t>6ab16d4c</t>
  </si>
  <si>
    <t>80105542</t>
  </si>
  <si>
    <t>0e8db917</t>
  </si>
  <si>
    <t>벼룩파리과</t>
  </si>
  <si>
    <t>벼룩파리</t>
  </si>
  <si>
    <t>Diplonevra bifasciata</t>
  </si>
  <si>
    <t>1b57fd60</t>
  </si>
  <si>
    <t>b9bf2de6</t>
  </si>
  <si>
    <t>2ce6b7ba</t>
  </si>
  <si>
    <t>검정날개버섯파리과</t>
  </si>
  <si>
    <t>검정날개버섯파리</t>
  </si>
  <si>
    <t>Dolichosciara flavipes</t>
  </si>
  <si>
    <t>435638a9</t>
  </si>
  <si>
    <t>52384aae</t>
  </si>
  <si>
    <t>f94dc3f5</t>
  </si>
  <si>
    <t>a329fe71</t>
  </si>
  <si>
    <t>ef0db09c</t>
  </si>
  <si>
    <t>혹파리과</t>
  </si>
  <si>
    <t>혹파리류</t>
  </si>
  <si>
    <t>Cecidomyiida sp.</t>
  </si>
  <si>
    <t>562a0767</t>
  </si>
  <si>
    <t>29b1b0aa</t>
  </si>
  <si>
    <t>한국깔때기거미</t>
  </si>
  <si>
    <t>Pireneitega spinivulva</t>
  </si>
  <si>
    <t>bad2febc</t>
  </si>
  <si>
    <t>d544680c</t>
  </si>
  <si>
    <t>트랩번호</t>
    <phoneticPr fontId="6" type="noConversion"/>
  </si>
  <si>
    <r>
      <t>X</t>
    </r>
    <r>
      <rPr>
        <sz val="11"/>
        <color theme="1"/>
        <rFont val="맑은 고딕"/>
        <family val="3"/>
        <charset val="129"/>
      </rPr>
      <t>좌표</t>
    </r>
    <phoneticPr fontId="6" type="noConversion"/>
  </si>
  <si>
    <r>
      <t>Y</t>
    </r>
    <r>
      <rPr>
        <sz val="11"/>
        <color theme="1"/>
        <rFont val="맑은 고딕"/>
        <family val="3"/>
        <charset val="129"/>
      </rPr>
      <t>좌표</t>
    </r>
    <phoneticPr fontId="6" type="noConversion"/>
  </si>
  <si>
    <t>해충종류</t>
    <phoneticPr fontId="6" type="noConversion"/>
  </si>
  <si>
    <t>개체수</t>
    <phoneticPr fontId="6" type="noConversion"/>
  </si>
  <si>
    <t>정보</t>
    <phoneticPr fontId="6" type="noConversion"/>
  </si>
  <si>
    <t>해충유형</t>
    <phoneticPr fontId="6" type="noConversion"/>
  </si>
  <si>
    <r>
      <t>Y</t>
    </r>
    <r>
      <rPr>
        <sz val="11"/>
        <color theme="1"/>
        <rFont val="맑은 고딕"/>
        <family val="2"/>
        <charset val="129"/>
      </rPr>
      <t>좌표</t>
    </r>
    <phoneticPr fontId="6" type="noConversion"/>
  </si>
  <si>
    <t>1층</t>
    <phoneticPr fontId="6" type="noConversion"/>
  </si>
  <si>
    <r>
      <t>2</t>
    </r>
    <r>
      <rPr>
        <sz val="11"/>
        <color theme="1"/>
        <rFont val="맑은 고딕"/>
        <family val="3"/>
        <charset val="129"/>
      </rPr>
      <t>층</t>
    </r>
    <phoneticPr fontId="6" type="noConversion"/>
  </si>
  <si>
    <t>X좌표</t>
    <phoneticPr fontId="6" type="noConversion"/>
  </si>
  <si>
    <t>Y좌표</t>
    <phoneticPr fontId="6" type="noConversion"/>
  </si>
  <si>
    <t>도면종류</t>
    <phoneticPr fontId="6" type="noConversion"/>
  </si>
  <si>
    <r>
      <t>1</t>
    </r>
    <r>
      <rPr>
        <sz val="11"/>
        <color theme="1"/>
        <rFont val="맑은 고딕"/>
        <family val="3"/>
        <charset val="129"/>
      </rPr>
      <t>층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</si>
</sst>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scheme val="minor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11"/>
      <color theme="1"/>
      <name val="Malgun Gothic"/>
      <family val="3"/>
      <charset val="129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8"/>
      <name val="Aptos Narrow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맑은 고딕"/>
      <family val="2"/>
      <charset val="129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shrinkToFit="1"/>
    </xf>
    <xf numFmtId="0" fontId="4" fillId="0" borderId="0" xfId="0" applyFont="1" applyAlignment="1">
      <alignment vertical="center"/>
    </xf>
    <xf numFmtId="49" fontId="4" fillId="0" borderId="0" xfId="0" applyNumberFormat="1" applyFont="1" applyAlignment="1">
      <alignment vertical="center"/>
    </xf>
    <xf numFmtId="1" fontId="4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00"/>
  <sheetViews>
    <sheetView workbookViewId="0">
      <selection activeCell="J4" sqref="J4:K4"/>
    </sheetView>
  </sheetViews>
  <sheetFormatPr defaultColWidth="12.5703125" defaultRowHeight="15" customHeight="1"/>
  <cols>
    <col min="2" max="2" width="11.140625" customWidth="1"/>
    <col min="3" max="4" width="1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1" t="s">
        <v>248</v>
      </c>
      <c r="J1" s="10" t="s">
        <v>237</v>
      </c>
      <c r="K1" s="10" t="s">
        <v>243</v>
      </c>
      <c r="L1" s="1" t="s">
        <v>8</v>
      </c>
      <c r="M1" s="1" t="s">
        <v>9</v>
      </c>
      <c r="N1" s="1"/>
    </row>
    <row r="2" spans="1:14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12" t="s">
        <v>244</v>
      </c>
      <c r="J2">
        <v>256.32100000000003</v>
      </c>
      <c r="K2">
        <v>258.75699900000001</v>
      </c>
      <c r="L2" s="1" t="s">
        <v>18</v>
      </c>
      <c r="M2" s="1" t="s">
        <v>19</v>
      </c>
      <c r="N2" s="3"/>
    </row>
    <row r="3" spans="1:14">
      <c r="A3" s="2" t="s">
        <v>20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21</v>
      </c>
      <c r="I3" s="12" t="s">
        <v>244</v>
      </c>
      <c r="J3">
        <v>256.32040080000002</v>
      </c>
      <c r="K3">
        <v>276.00703270000002</v>
      </c>
      <c r="L3" s="1" t="s">
        <v>18</v>
      </c>
      <c r="M3" s="1" t="s">
        <v>19</v>
      </c>
      <c r="N3" s="3"/>
    </row>
    <row r="4" spans="1:14">
      <c r="A4" s="2" t="s">
        <v>22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23</v>
      </c>
      <c r="H4" s="2" t="s">
        <v>24</v>
      </c>
      <c r="I4" s="12" t="s">
        <v>244</v>
      </c>
      <c r="J4">
        <v>232.2615347</v>
      </c>
      <c r="K4">
        <v>312.65871420000002</v>
      </c>
      <c r="L4" s="1" t="s">
        <v>18</v>
      </c>
      <c r="M4" s="1" t="s">
        <v>19</v>
      </c>
      <c r="N4" s="3"/>
    </row>
    <row r="5" spans="1:14">
      <c r="A5" s="2" t="s">
        <v>25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23</v>
      </c>
      <c r="H5" s="2" t="s">
        <v>26</v>
      </c>
      <c r="I5" s="12" t="s">
        <v>244</v>
      </c>
      <c r="J5">
        <v>232.2615347</v>
      </c>
      <c r="K5">
        <v>366.49180810000001</v>
      </c>
      <c r="L5" s="1" t="s">
        <v>18</v>
      </c>
      <c r="M5" s="1" t="s">
        <v>19</v>
      </c>
      <c r="N5" s="3"/>
    </row>
    <row r="6" spans="1:14">
      <c r="A6" s="2" t="s">
        <v>27</v>
      </c>
      <c r="B6" s="2" t="s">
        <v>11</v>
      </c>
      <c r="C6" s="2" t="s">
        <v>12</v>
      </c>
      <c r="D6" s="2" t="s">
        <v>13</v>
      </c>
      <c r="E6" s="2" t="s">
        <v>14</v>
      </c>
      <c r="F6" s="2" t="s">
        <v>15</v>
      </c>
      <c r="G6" s="2" t="s">
        <v>23</v>
      </c>
      <c r="H6" s="2" t="s">
        <v>28</v>
      </c>
      <c r="I6" s="12" t="s">
        <v>244</v>
      </c>
      <c r="J6">
        <v>329.34257459999998</v>
      </c>
      <c r="K6">
        <v>366.49180810000001</v>
      </c>
      <c r="L6" s="1" t="s">
        <v>18</v>
      </c>
      <c r="M6" s="1" t="s">
        <v>19</v>
      </c>
      <c r="N6" s="3"/>
    </row>
    <row r="7" spans="1:14">
      <c r="A7" s="2" t="s">
        <v>29</v>
      </c>
      <c r="B7" s="2" t="s">
        <v>11</v>
      </c>
      <c r="C7" s="2" t="s">
        <v>12</v>
      </c>
      <c r="D7" s="2" t="s">
        <v>13</v>
      </c>
      <c r="E7" s="2" t="s">
        <v>14</v>
      </c>
      <c r="F7" s="2" t="s">
        <v>15</v>
      </c>
      <c r="G7" s="2" t="s">
        <v>23</v>
      </c>
      <c r="H7" s="2" t="s">
        <v>30</v>
      </c>
      <c r="I7" s="12" t="s">
        <v>244</v>
      </c>
      <c r="J7">
        <v>447.96917480000002</v>
      </c>
      <c r="K7">
        <v>366.49180810000001</v>
      </c>
      <c r="L7" s="1" t="s">
        <v>18</v>
      </c>
      <c r="M7" s="1" t="s">
        <v>19</v>
      </c>
      <c r="N7" s="3"/>
    </row>
    <row r="8" spans="1:14">
      <c r="A8" s="2" t="s">
        <v>31</v>
      </c>
      <c r="B8" s="2" t="s">
        <v>11</v>
      </c>
      <c r="C8" s="2" t="s">
        <v>12</v>
      </c>
      <c r="D8" s="2" t="s">
        <v>13</v>
      </c>
      <c r="E8" s="2" t="s">
        <v>14</v>
      </c>
      <c r="F8" s="2" t="s">
        <v>15</v>
      </c>
      <c r="G8" s="2" t="s">
        <v>23</v>
      </c>
      <c r="H8" s="2" t="s">
        <v>32</v>
      </c>
      <c r="I8" s="12" t="s">
        <v>244</v>
      </c>
      <c r="J8">
        <v>447.96917480000002</v>
      </c>
      <c r="K8">
        <v>332.69368109999999</v>
      </c>
      <c r="L8" s="1" t="s">
        <v>18</v>
      </c>
      <c r="M8" s="1" t="s">
        <v>19</v>
      </c>
      <c r="N8" s="3"/>
    </row>
    <row r="9" spans="1:14">
      <c r="A9" s="2" t="s">
        <v>33</v>
      </c>
      <c r="B9" s="2" t="s">
        <v>11</v>
      </c>
      <c r="C9" s="2" t="s">
        <v>12</v>
      </c>
      <c r="D9" s="2" t="s">
        <v>13</v>
      </c>
      <c r="E9" s="2" t="s">
        <v>14</v>
      </c>
      <c r="F9" s="2" t="s">
        <v>15</v>
      </c>
      <c r="G9" s="2" t="s">
        <v>23</v>
      </c>
      <c r="H9" s="2" t="s">
        <v>34</v>
      </c>
      <c r="I9" s="12" t="s">
        <v>244</v>
      </c>
      <c r="J9">
        <v>447.96917480000002</v>
      </c>
      <c r="K9">
        <v>286.08855419999998</v>
      </c>
      <c r="L9" s="1" t="s">
        <v>18</v>
      </c>
      <c r="M9" s="1" t="s">
        <v>19</v>
      </c>
      <c r="N9" s="3"/>
    </row>
    <row r="10" spans="1:14">
      <c r="A10" s="2" t="s">
        <v>35</v>
      </c>
      <c r="B10" s="2" t="s">
        <v>11</v>
      </c>
      <c r="C10" s="2" t="s">
        <v>12</v>
      </c>
      <c r="D10" s="2" t="s">
        <v>13</v>
      </c>
      <c r="E10" s="2" t="s">
        <v>14</v>
      </c>
      <c r="F10" s="2" t="s">
        <v>15</v>
      </c>
      <c r="G10" s="2" t="s">
        <v>23</v>
      </c>
      <c r="H10" s="2" t="s">
        <v>36</v>
      </c>
      <c r="I10" s="12" t="s">
        <v>244</v>
      </c>
      <c r="J10">
        <v>385.30399999999997</v>
      </c>
      <c r="K10">
        <v>286.08855419999998</v>
      </c>
      <c r="L10" s="1" t="s">
        <v>18</v>
      </c>
      <c r="M10" s="1" t="s">
        <v>19</v>
      </c>
      <c r="N10" s="3"/>
    </row>
    <row r="11" spans="1:14">
      <c r="A11" s="2" t="s">
        <v>37</v>
      </c>
      <c r="B11" s="2" t="s">
        <v>11</v>
      </c>
      <c r="C11" s="2" t="s">
        <v>12</v>
      </c>
      <c r="D11" s="2" t="s">
        <v>13</v>
      </c>
      <c r="E11" s="2" t="s">
        <v>14</v>
      </c>
      <c r="F11" s="2" t="s">
        <v>15</v>
      </c>
      <c r="G11" s="2" t="s">
        <v>23</v>
      </c>
      <c r="H11" s="2" t="s">
        <v>38</v>
      </c>
      <c r="I11" s="12" t="s">
        <v>244</v>
      </c>
      <c r="J11">
        <v>319.81191219999999</v>
      </c>
      <c r="K11">
        <v>286.08855419999998</v>
      </c>
      <c r="L11" s="1" t="s">
        <v>18</v>
      </c>
      <c r="M11" s="1" t="s">
        <v>19</v>
      </c>
      <c r="N11" s="3"/>
    </row>
    <row r="12" spans="1:14">
      <c r="A12" s="2" t="s">
        <v>39</v>
      </c>
      <c r="B12" s="2" t="s">
        <v>11</v>
      </c>
      <c r="C12" s="2" t="s">
        <v>12</v>
      </c>
      <c r="D12" s="2" t="s">
        <v>13</v>
      </c>
      <c r="E12" s="2" t="s">
        <v>14</v>
      </c>
      <c r="F12" s="2" t="s">
        <v>15</v>
      </c>
      <c r="G12" s="2" t="s">
        <v>23</v>
      </c>
      <c r="H12" s="2" t="s">
        <v>40</v>
      </c>
      <c r="I12" s="12" t="s">
        <v>244</v>
      </c>
      <c r="J12">
        <v>319.81191219999999</v>
      </c>
      <c r="K12">
        <v>305.16542270000002</v>
      </c>
      <c r="L12" s="1" t="s">
        <v>18</v>
      </c>
      <c r="M12" s="1" t="s">
        <v>19</v>
      </c>
      <c r="N12" s="3"/>
    </row>
    <row r="13" spans="1:14">
      <c r="A13" s="2" t="s">
        <v>41</v>
      </c>
      <c r="B13" s="2" t="s">
        <v>11</v>
      </c>
      <c r="C13" s="2" t="s">
        <v>12</v>
      </c>
      <c r="D13" s="2" t="s">
        <v>13</v>
      </c>
      <c r="E13" s="2" t="s">
        <v>14</v>
      </c>
      <c r="F13" s="2" t="s">
        <v>15</v>
      </c>
      <c r="G13" s="2" t="s">
        <v>23</v>
      </c>
      <c r="H13" s="2" t="s">
        <v>42</v>
      </c>
      <c r="I13" s="12" t="s">
        <v>244</v>
      </c>
      <c r="J13">
        <v>253.90088610000001</v>
      </c>
      <c r="K13">
        <v>312.65871420000002</v>
      </c>
      <c r="L13" s="1" t="s">
        <v>18</v>
      </c>
      <c r="M13" s="1" t="s">
        <v>19</v>
      </c>
      <c r="N13" s="3"/>
    </row>
    <row r="14" spans="1:14">
      <c r="A14" s="2" t="s">
        <v>43</v>
      </c>
      <c r="B14" s="2" t="s">
        <v>11</v>
      </c>
      <c r="C14" s="2" t="s">
        <v>12</v>
      </c>
      <c r="D14" s="2" t="s">
        <v>13</v>
      </c>
      <c r="E14" s="2" t="s">
        <v>14</v>
      </c>
      <c r="F14" s="2" t="s">
        <v>15</v>
      </c>
      <c r="G14" s="2" t="s">
        <v>44</v>
      </c>
      <c r="H14" s="2" t="s">
        <v>45</v>
      </c>
      <c r="I14" s="13" t="s">
        <v>245</v>
      </c>
      <c r="J14">
        <v>90.655299999999997</v>
      </c>
      <c r="K14">
        <v>50.2941</v>
      </c>
      <c r="L14" s="1" t="s">
        <v>18</v>
      </c>
      <c r="M14" s="1" t="s">
        <v>19</v>
      </c>
      <c r="N14" s="3"/>
    </row>
    <row r="15" spans="1:14">
      <c r="A15" s="2" t="s">
        <v>46</v>
      </c>
      <c r="B15" s="2" t="s">
        <v>11</v>
      </c>
      <c r="C15" s="2" t="s">
        <v>12</v>
      </c>
      <c r="D15" s="2" t="s">
        <v>13</v>
      </c>
      <c r="E15" s="2" t="s">
        <v>14</v>
      </c>
      <c r="F15" s="2" t="s">
        <v>15</v>
      </c>
      <c r="G15" s="2" t="s">
        <v>44</v>
      </c>
      <c r="H15" s="2" t="s">
        <v>47</v>
      </c>
      <c r="I15" s="13" t="s">
        <v>245</v>
      </c>
      <c r="J15">
        <v>90.655299999999997</v>
      </c>
      <c r="K15">
        <v>38.014200000000002</v>
      </c>
      <c r="L15" s="1" t="s">
        <v>18</v>
      </c>
      <c r="M15" s="1" t="s">
        <v>19</v>
      </c>
      <c r="N15" s="3"/>
    </row>
    <row r="16" spans="1:14">
      <c r="A16" s="2" t="s">
        <v>48</v>
      </c>
      <c r="B16" s="2" t="s">
        <v>11</v>
      </c>
      <c r="C16" s="2" t="s">
        <v>12</v>
      </c>
      <c r="D16" s="2" t="s">
        <v>13</v>
      </c>
      <c r="E16" s="2" t="s">
        <v>14</v>
      </c>
      <c r="F16" s="2" t="s">
        <v>15</v>
      </c>
      <c r="G16" s="2" t="s">
        <v>44</v>
      </c>
      <c r="H16" s="2" t="s">
        <v>49</v>
      </c>
      <c r="I16" s="13" t="s">
        <v>245</v>
      </c>
      <c r="J16">
        <v>126.8154</v>
      </c>
      <c r="K16">
        <v>38.014200000000002</v>
      </c>
      <c r="L16" s="1" t="s">
        <v>18</v>
      </c>
      <c r="M16" s="1" t="s">
        <v>19</v>
      </c>
      <c r="N16" s="3"/>
    </row>
    <row r="17" spans="1:14">
      <c r="A17" s="2" t="s">
        <v>50</v>
      </c>
      <c r="B17" s="2" t="s">
        <v>11</v>
      </c>
      <c r="C17" s="2" t="s">
        <v>12</v>
      </c>
      <c r="D17" s="2" t="s">
        <v>13</v>
      </c>
      <c r="E17" s="2" t="s">
        <v>14</v>
      </c>
      <c r="F17" s="2" t="s">
        <v>15</v>
      </c>
      <c r="G17" s="2" t="s">
        <v>44</v>
      </c>
      <c r="H17" s="2" t="s">
        <v>51</v>
      </c>
      <c r="I17" s="13" t="s">
        <v>245</v>
      </c>
      <c r="J17">
        <v>126.8154</v>
      </c>
      <c r="K17">
        <v>49.348799999999997</v>
      </c>
      <c r="L17" s="1" t="s">
        <v>18</v>
      </c>
      <c r="M17" s="1" t="s">
        <v>19</v>
      </c>
      <c r="N17" s="3"/>
    </row>
    <row r="18" spans="1:14">
      <c r="A18" s="2" t="s">
        <v>52</v>
      </c>
      <c r="B18" s="2" t="s">
        <v>11</v>
      </c>
      <c r="C18" s="2" t="s">
        <v>12</v>
      </c>
      <c r="D18" s="2" t="s">
        <v>13</v>
      </c>
      <c r="E18" s="2" t="s">
        <v>14</v>
      </c>
      <c r="F18" s="2" t="s">
        <v>15</v>
      </c>
      <c r="G18" s="2" t="s">
        <v>44</v>
      </c>
      <c r="H18" s="2" t="s">
        <v>53</v>
      </c>
      <c r="I18" s="13" t="s">
        <v>245</v>
      </c>
      <c r="J18">
        <v>126.8154</v>
      </c>
      <c r="K18">
        <v>60.683300000000003</v>
      </c>
      <c r="L18" s="1" t="s">
        <v>18</v>
      </c>
      <c r="M18" s="1" t="s">
        <v>19</v>
      </c>
      <c r="N18" s="3"/>
    </row>
    <row r="19" spans="1:14">
      <c r="A19" s="2" t="s">
        <v>54</v>
      </c>
      <c r="B19" s="2" t="s">
        <v>11</v>
      </c>
      <c r="C19" s="2" t="s">
        <v>12</v>
      </c>
      <c r="D19" s="2" t="s">
        <v>13</v>
      </c>
      <c r="E19" s="2" t="s">
        <v>14</v>
      </c>
      <c r="F19" s="2" t="s">
        <v>15</v>
      </c>
      <c r="G19" s="2" t="s">
        <v>44</v>
      </c>
      <c r="H19" s="2" t="s">
        <v>55</v>
      </c>
      <c r="I19" s="13" t="s">
        <v>245</v>
      </c>
      <c r="J19">
        <v>90.655299999999997</v>
      </c>
      <c r="K19">
        <v>60.683300000000003</v>
      </c>
      <c r="L19" s="1" t="s">
        <v>18</v>
      </c>
      <c r="M19" s="1" t="s">
        <v>19</v>
      </c>
      <c r="N19" s="3"/>
    </row>
    <row r="20" spans="1:14">
      <c r="A20" s="2" t="s">
        <v>56</v>
      </c>
      <c r="B20" s="2" t="s">
        <v>11</v>
      </c>
      <c r="C20" s="2" t="s">
        <v>12</v>
      </c>
      <c r="D20" s="2" t="s">
        <v>13</v>
      </c>
      <c r="E20" s="2" t="s">
        <v>14</v>
      </c>
      <c r="F20" s="2" t="s">
        <v>15</v>
      </c>
      <c r="G20" s="2" t="s">
        <v>44</v>
      </c>
      <c r="H20" s="2" t="s">
        <v>57</v>
      </c>
      <c r="I20" s="13" t="s">
        <v>245</v>
      </c>
      <c r="J20">
        <v>90.655299999999997</v>
      </c>
      <c r="K20">
        <v>54.537300000000002</v>
      </c>
      <c r="L20" s="1" t="s">
        <v>18</v>
      </c>
      <c r="M20" s="1" t="s">
        <v>19</v>
      </c>
      <c r="N20" s="3"/>
    </row>
    <row r="21" spans="1:14">
      <c r="A21" s="2" t="s">
        <v>58</v>
      </c>
      <c r="B21" s="2" t="s">
        <v>11</v>
      </c>
      <c r="C21" s="2" t="s">
        <v>12</v>
      </c>
      <c r="D21" s="2" t="s">
        <v>13</v>
      </c>
      <c r="E21" s="2" t="s">
        <v>14</v>
      </c>
      <c r="F21" s="2" t="s">
        <v>15</v>
      </c>
      <c r="G21" s="2" t="s">
        <v>59</v>
      </c>
      <c r="H21" s="2" t="s">
        <v>60</v>
      </c>
      <c r="I21" s="12" t="s">
        <v>244</v>
      </c>
      <c r="J21">
        <v>212.1305529</v>
      </c>
      <c r="K21">
        <v>267.01168560000002</v>
      </c>
      <c r="L21" s="1" t="s">
        <v>18</v>
      </c>
      <c r="M21" s="1" t="s">
        <v>19</v>
      </c>
      <c r="N21" s="3"/>
    </row>
    <row r="22" spans="1:14">
      <c r="A22" s="2" t="s">
        <v>61</v>
      </c>
      <c r="B22" s="2" t="s">
        <v>11</v>
      </c>
      <c r="C22" s="2" t="s">
        <v>12</v>
      </c>
      <c r="D22" s="2" t="s">
        <v>13</v>
      </c>
      <c r="E22" s="2" t="s">
        <v>14</v>
      </c>
      <c r="F22" s="2" t="s">
        <v>15</v>
      </c>
      <c r="G22" s="2" t="s">
        <v>59</v>
      </c>
      <c r="H22" s="2" t="s">
        <v>62</v>
      </c>
      <c r="I22" s="12" t="s">
        <v>244</v>
      </c>
      <c r="J22">
        <v>212.1305529</v>
      </c>
      <c r="K22">
        <v>223.55281220000001</v>
      </c>
      <c r="L22" s="1" t="s">
        <v>18</v>
      </c>
      <c r="M22" s="1" t="s">
        <v>19</v>
      </c>
      <c r="N22" s="3"/>
    </row>
    <row r="23" spans="1:14">
      <c r="A23" s="2" t="s">
        <v>63</v>
      </c>
      <c r="B23" s="2" t="s">
        <v>11</v>
      </c>
      <c r="C23" s="2" t="s">
        <v>12</v>
      </c>
      <c r="D23" s="2" t="s">
        <v>13</v>
      </c>
      <c r="E23" s="2" t="s">
        <v>14</v>
      </c>
      <c r="F23" s="2" t="s">
        <v>15</v>
      </c>
      <c r="G23" s="2" t="s">
        <v>59</v>
      </c>
      <c r="H23" s="2" t="s">
        <v>64</v>
      </c>
      <c r="I23" s="12" t="s">
        <v>244</v>
      </c>
      <c r="J23">
        <v>152.15590220000001</v>
      </c>
      <c r="K23">
        <v>223.55281220000001</v>
      </c>
      <c r="L23" s="1" t="s">
        <v>18</v>
      </c>
      <c r="M23" s="1" t="s">
        <v>19</v>
      </c>
      <c r="N23" s="3"/>
    </row>
    <row r="24" spans="1:14">
      <c r="A24" s="2" t="s">
        <v>65</v>
      </c>
      <c r="B24" s="2" t="s">
        <v>11</v>
      </c>
      <c r="C24" s="2" t="s">
        <v>12</v>
      </c>
      <c r="D24" s="2" t="s">
        <v>13</v>
      </c>
      <c r="E24" s="2" t="s">
        <v>14</v>
      </c>
      <c r="F24" s="2" t="s">
        <v>15</v>
      </c>
      <c r="G24" s="2" t="s">
        <v>59</v>
      </c>
      <c r="H24" s="2" t="s">
        <v>66</v>
      </c>
      <c r="I24" s="12" t="s">
        <v>244</v>
      </c>
      <c r="J24">
        <v>108.15465089999999</v>
      </c>
      <c r="K24">
        <v>270.34656219999999</v>
      </c>
      <c r="L24" s="1" t="s">
        <v>18</v>
      </c>
      <c r="M24" s="1" t="s">
        <v>19</v>
      </c>
      <c r="N24" s="3"/>
    </row>
    <row r="25" spans="1:14">
      <c r="A25" s="2" t="s">
        <v>67</v>
      </c>
      <c r="B25" s="2" t="s">
        <v>11</v>
      </c>
      <c r="C25" s="2" t="s">
        <v>12</v>
      </c>
      <c r="D25" s="2" t="s">
        <v>13</v>
      </c>
      <c r="E25" s="2" t="s">
        <v>14</v>
      </c>
      <c r="F25" s="2" t="s">
        <v>15</v>
      </c>
      <c r="G25" s="2" t="s">
        <v>59</v>
      </c>
      <c r="H25" s="2" t="s">
        <v>68</v>
      </c>
      <c r="I25" s="12" t="s">
        <v>244</v>
      </c>
      <c r="J25">
        <v>48.174458600000001</v>
      </c>
      <c r="K25">
        <v>335.99634420000001</v>
      </c>
      <c r="L25" s="1" t="s">
        <v>18</v>
      </c>
      <c r="M25" s="1" t="s">
        <v>19</v>
      </c>
      <c r="N25" s="3"/>
    </row>
    <row r="26" spans="1:14">
      <c r="A26" s="2" t="s">
        <v>69</v>
      </c>
      <c r="B26" s="2" t="s">
        <v>11</v>
      </c>
      <c r="C26" s="2" t="s">
        <v>12</v>
      </c>
      <c r="D26" s="2" t="s">
        <v>13</v>
      </c>
      <c r="E26" s="2" t="s">
        <v>14</v>
      </c>
      <c r="F26" s="2" t="s">
        <v>15</v>
      </c>
      <c r="G26" s="2" t="s">
        <v>59</v>
      </c>
      <c r="H26" s="2" t="s">
        <v>70</v>
      </c>
      <c r="I26" s="12" t="s">
        <v>244</v>
      </c>
      <c r="J26">
        <v>48.174458600000001</v>
      </c>
      <c r="K26">
        <v>365.8363645</v>
      </c>
      <c r="L26" s="1" t="s">
        <v>18</v>
      </c>
      <c r="M26" s="1" t="s">
        <v>19</v>
      </c>
      <c r="N26" s="3"/>
    </row>
    <row r="27" spans="1:14">
      <c r="A27" s="2" t="s">
        <v>71</v>
      </c>
      <c r="B27" s="2" t="s">
        <v>11</v>
      </c>
      <c r="C27" s="2" t="s">
        <v>12</v>
      </c>
      <c r="D27" s="2" t="s">
        <v>13</v>
      </c>
      <c r="E27" s="2" t="s">
        <v>14</v>
      </c>
      <c r="F27" s="2" t="s">
        <v>15</v>
      </c>
      <c r="G27" s="2" t="s">
        <v>59</v>
      </c>
      <c r="H27" s="2" t="s">
        <v>72</v>
      </c>
      <c r="I27" s="12" t="s">
        <v>244</v>
      </c>
      <c r="J27">
        <v>132.0894668</v>
      </c>
      <c r="K27">
        <v>365.8363645</v>
      </c>
      <c r="L27" s="1" t="s">
        <v>18</v>
      </c>
      <c r="M27" s="1" t="s">
        <v>19</v>
      </c>
      <c r="N27" s="3"/>
    </row>
    <row r="28" spans="1:14">
      <c r="A28" s="2" t="s">
        <v>73</v>
      </c>
      <c r="B28" s="2" t="s">
        <v>11</v>
      </c>
      <c r="C28" s="2" t="s">
        <v>12</v>
      </c>
      <c r="D28" s="2" t="s">
        <v>13</v>
      </c>
      <c r="E28" s="2" t="s">
        <v>14</v>
      </c>
      <c r="F28" s="2" t="s">
        <v>15</v>
      </c>
      <c r="G28" s="2" t="s">
        <v>59</v>
      </c>
      <c r="H28" s="2" t="s">
        <v>74</v>
      </c>
      <c r="I28" s="12" t="s">
        <v>244</v>
      </c>
      <c r="J28">
        <v>212.1305529</v>
      </c>
      <c r="K28">
        <v>365.8363645</v>
      </c>
      <c r="L28" s="1" t="s">
        <v>18</v>
      </c>
      <c r="M28" s="1" t="s">
        <v>19</v>
      </c>
      <c r="N28" s="3"/>
    </row>
    <row r="29" spans="1:14">
      <c r="A29" s="2" t="s">
        <v>75</v>
      </c>
      <c r="B29" s="2" t="s">
        <v>11</v>
      </c>
      <c r="C29" s="2" t="s">
        <v>12</v>
      </c>
      <c r="D29" s="2" t="s">
        <v>13</v>
      </c>
      <c r="E29" s="2" t="s">
        <v>14</v>
      </c>
      <c r="F29" s="2" t="s">
        <v>15</v>
      </c>
      <c r="G29" s="2" t="s">
        <v>59</v>
      </c>
      <c r="H29" s="2" t="s">
        <v>76</v>
      </c>
      <c r="I29" s="12" t="s">
        <v>244</v>
      </c>
      <c r="J29">
        <v>212.1305529</v>
      </c>
      <c r="K29">
        <v>288.8351955</v>
      </c>
      <c r="L29" s="1" t="s">
        <v>18</v>
      </c>
      <c r="M29" s="1" t="s">
        <v>19</v>
      </c>
      <c r="N29" s="3"/>
    </row>
    <row r="30" spans="1:14">
      <c r="A30" s="2" t="s">
        <v>77</v>
      </c>
      <c r="B30" s="2" t="s">
        <v>11</v>
      </c>
      <c r="C30" s="2" t="s">
        <v>12</v>
      </c>
      <c r="D30" s="2" t="s">
        <v>13</v>
      </c>
      <c r="E30" s="2" t="s">
        <v>14</v>
      </c>
      <c r="F30" s="2" t="s">
        <v>15</v>
      </c>
      <c r="G30" s="2" t="s">
        <v>78</v>
      </c>
      <c r="H30" s="2" t="s">
        <v>79</v>
      </c>
      <c r="I30" s="13" t="s">
        <v>245</v>
      </c>
      <c r="J30">
        <v>47.148800000000001</v>
      </c>
      <c r="K30">
        <v>78.511600000000001</v>
      </c>
      <c r="L30" s="1" t="s">
        <v>18</v>
      </c>
      <c r="M30" s="1" t="s">
        <v>19</v>
      </c>
      <c r="N30" s="3"/>
    </row>
    <row r="31" spans="1:14">
      <c r="A31" s="2" t="s">
        <v>80</v>
      </c>
      <c r="B31" s="2" t="s">
        <v>11</v>
      </c>
      <c r="C31" s="2" t="s">
        <v>12</v>
      </c>
      <c r="D31" s="2" t="s">
        <v>13</v>
      </c>
      <c r="E31" s="2" t="s">
        <v>14</v>
      </c>
      <c r="F31" s="2" t="s">
        <v>15</v>
      </c>
      <c r="G31" s="2" t="s">
        <v>78</v>
      </c>
      <c r="H31" s="2" t="s">
        <v>81</v>
      </c>
      <c r="I31" s="13" t="s">
        <v>245</v>
      </c>
      <c r="J31">
        <v>13.601800000000001</v>
      </c>
      <c r="K31">
        <v>37.8459</v>
      </c>
      <c r="L31" s="1" t="s">
        <v>18</v>
      </c>
      <c r="M31" s="1" t="s">
        <v>19</v>
      </c>
      <c r="N31" s="3"/>
    </row>
    <row r="32" spans="1:14">
      <c r="A32" s="2" t="s">
        <v>82</v>
      </c>
      <c r="B32" s="2" t="s">
        <v>11</v>
      </c>
      <c r="C32" s="2" t="s">
        <v>12</v>
      </c>
      <c r="D32" s="2" t="s">
        <v>13</v>
      </c>
      <c r="E32" s="2" t="s">
        <v>14</v>
      </c>
      <c r="F32" s="2" t="s">
        <v>15</v>
      </c>
      <c r="G32" s="2" t="s">
        <v>78</v>
      </c>
      <c r="H32" s="2" t="s">
        <v>83</v>
      </c>
      <c r="I32" s="13" t="s">
        <v>245</v>
      </c>
      <c r="J32">
        <v>60.022100000000002</v>
      </c>
      <c r="K32">
        <v>38.014200000000002</v>
      </c>
      <c r="L32" s="1" t="s">
        <v>18</v>
      </c>
      <c r="M32" s="1" t="s">
        <v>19</v>
      </c>
      <c r="N32" s="3"/>
    </row>
    <row r="33" spans="1:14">
      <c r="A33" s="2" t="s">
        <v>84</v>
      </c>
      <c r="B33" s="2" t="s">
        <v>11</v>
      </c>
      <c r="C33" s="2" t="s">
        <v>12</v>
      </c>
      <c r="D33" s="2" t="s">
        <v>13</v>
      </c>
      <c r="E33" s="2" t="s">
        <v>14</v>
      </c>
      <c r="F33" s="2" t="s">
        <v>15</v>
      </c>
      <c r="G33" s="2" t="s">
        <v>78</v>
      </c>
      <c r="H33" s="2" t="s">
        <v>85</v>
      </c>
      <c r="I33" s="13" t="s">
        <v>245</v>
      </c>
      <c r="J33">
        <v>60.022100000000002</v>
      </c>
      <c r="K33">
        <v>59.344499999999996</v>
      </c>
      <c r="L33" s="1" t="s">
        <v>18</v>
      </c>
      <c r="M33" s="1" t="s">
        <v>19</v>
      </c>
      <c r="N33" s="3"/>
    </row>
    <row r="34" spans="1:14">
      <c r="A34" s="2" t="s">
        <v>86</v>
      </c>
      <c r="B34" s="2" t="s">
        <v>11</v>
      </c>
      <c r="C34" s="2" t="s">
        <v>12</v>
      </c>
      <c r="D34" s="2" t="s">
        <v>13</v>
      </c>
      <c r="E34" s="2" t="s">
        <v>14</v>
      </c>
      <c r="F34" s="2" t="s">
        <v>15</v>
      </c>
      <c r="G34" s="2" t="s">
        <v>78</v>
      </c>
      <c r="H34" s="2" t="s">
        <v>87</v>
      </c>
      <c r="I34" s="13" t="s">
        <v>245</v>
      </c>
      <c r="J34">
        <v>47.148800000000001</v>
      </c>
      <c r="K34">
        <v>73.763900000000007</v>
      </c>
      <c r="L34" s="1" t="s">
        <v>18</v>
      </c>
      <c r="M34" s="1" t="s">
        <v>19</v>
      </c>
      <c r="N34" s="3"/>
    </row>
    <row r="35" spans="1:14">
      <c r="A35" s="2" t="s">
        <v>88</v>
      </c>
      <c r="B35" s="2" t="s">
        <v>11</v>
      </c>
      <c r="C35" s="2" t="s">
        <v>12</v>
      </c>
      <c r="D35" s="2" t="s">
        <v>13</v>
      </c>
      <c r="E35" s="2" t="s">
        <v>14</v>
      </c>
      <c r="F35" s="2" t="s">
        <v>15</v>
      </c>
      <c r="G35" s="2" t="s">
        <v>16</v>
      </c>
      <c r="H35" s="2" t="s">
        <v>89</v>
      </c>
      <c r="I35" s="12" t="s">
        <v>244</v>
      </c>
      <c r="J35">
        <v>290.76116480000002</v>
      </c>
      <c r="K35">
        <v>196.07882889999999</v>
      </c>
      <c r="L35" s="1" t="s">
        <v>18</v>
      </c>
      <c r="M35" s="1" t="s">
        <v>19</v>
      </c>
      <c r="N35" s="3"/>
    </row>
    <row r="36" spans="1:14">
      <c r="A36" s="2" t="s">
        <v>90</v>
      </c>
      <c r="B36" s="2" t="s">
        <v>11</v>
      </c>
      <c r="C36" s="2" t="s">
        <v>12</v>
      </c>
      <c r="D36" s="2" t="s">
        <v>13</v>
      </c>
      <c r="E36" s="2" t="s">
        <v>14</v>
      </c>
      <c r="F36" s="2" t="s">
        <v>15</v>
      </c>
      <c r="G36" s="2" t="s">
        <v>16</v>
      </c>
      <c r="H36" s="2" t="s">
        <v>91</v>
      </c>
      <c r="I36" s="12" t="s">
        <v>244</v>
      </c>
      <c r="J36">
        <v>290.76116480000002</v>
      </c>
      <c r="K36">
        <v>174.10584349999999</v>
      </c>
      <c r="L36" s="1" t="s">
        <v>18</v>
      </c>
      <c r="M36" s="1" t="s">
        <v>19</v>
      </c>
      <c r="N36" s="3"/>
    </row>
    <row r="37" spans="1:14">
      <c r="A37" s="2" t="s">
        <v>92</v>
      </c>
      <c r="B37" s="2" t="s">
        <v>11</v>
      </c>
      <c r="C37" s="2" t="s">
        <v>12</v>
      </c>
      <c r="D37" s="2" t="s">
        <v>13</v>
      </c>
      <c r="E37" s="2" t="s">
        <v>14</v>
      </c>
      <c r="F37" s="2" t="s">
        <v>15</v>
      </c>
      <c r="G37" s="2" t="s">
        <v>93</v>
      </c>
      <c r="H37" s="2" t="s">
        <v>94</v>
      </c>
      <c r="I37" s="12" t="s">
        <v>244</v>
      </c>
      <c r="J37">
        <v>318.63544180000002</v>
      </c>
      <c r="K37">
        <v>192.74395229999999</v>
      </c>
      <c r="L37" s="1" t="s">
        <v>18</v>
      </c>
      <c r="M37" s="1" t="s">
        <v>19</v>
      </c>
      <c r="N37" s="3"/>
    </row>
    <row r="38" spans="1:14">
      <c r="A38" s="2" t="s">
        <v>95</v>
      </c>
      <c r="B38" s="2" t="s">
        <v>11</v>
      </c>
      <c r="C38" s="2" t="s">
        <v>12</v>
      </c>
      <c r="D38" s="2" t="s">
        <v>13</v>
      </c>
      <c r="E38" s="2" t="s">
        <v>14</v>
      </c>
      <c r="F38" s="2" t="s">
        <v>15</v>
      </c>
      <c r="G38" s="2" t="s">
        <v>93</v>
      </c>
      <c r="H38" s="2" t="s">
        <v>96</v>
      </c>
      <c r="I38" s="12" t="s">
        <v>244</v>
      </c>
      <c r="J38">
        <v>319.81191219999999</v>
      </c>
      <c r="K38">
        <v>212.62813270000001</v>
      </c>
      <c r="L38" s="1" t="s">
        <v>18</v>
      </c>
      <c r="M38" s="1" t="s">
        <v>19</v>
      </c>
      <c r="N38" s="3"/>
    </row>
    <row r="39" spans="1:14">
      <c r="A39" s="2" t="s">
        <v>97</v>
      </c>
      <c r="B39" s="2" t="s">
        <v>11</v>
      </c>
      <c r="C39" s="2" t="s">
        <v>12</v>
      </c>
      <c r="D39" s="2" t="s">
        <v>13</v>
      </c>
      <c r="E39" s="2" t="s">
        <v>14</v>
      </c>
      <c r="F39" s="2" t="s">
        <v>15</v>
      </c>
      <c r="G39" s="2" t="s">
        <v>93</v>
      </c>
      <c r="H39" s="2" t="s">
        <v>98</v>
      </c>
      <c r="I39" s="12" t="s">
        <v>244</v>
      </c>
      <c r="J39">
        <v>298.42430430000002</v>
      </c>
      <c r="K39">
        <v>262.09187559999998</v>
      </c>
      <c r="L39" s="1" t="s">
        <v>18</v>
      </c>
      <c r="M39" s="1" t="s">
        <v>19</v>
      </c>
      <c r="N39" s="3"/>
    </row>
    <row r="40" spans="1:14">
      <c r="A40" s="2" t="s">
        <v>99</v>
      </c>
      <c r="B40" s="2" t="s">
        <v>11</v>
      </c>
      <c r="C40" s="2" t="s">
        <v>12</v>
      </c>
      <c r="D40" s="2" t="s">
        <v>13</v>
      </c>
      <c r="E40" s="2" t="s">
        <v>14</v>
      </c>
      <c r="F40" s="2" t="s">
        <v>15</v>
      </c>
      <c r="G40" s="2" t="s">
        <v>93</v>
      </c>
      <c r="H40" s="2" t="s">
        <v>100</v>
      </c>
      <c r="I40" s="12" t="s">
        <v>244</v>
      </c>
      <c r="J40">
        <v>446.55459630000001</v>
      </c>
      <c r="K40">
        <v>262.09187559999998</v>
      </c>
      <c r="L40" s="1" t="s">
        <v>18</v>
      </c>
      <c r="M40" s="1" t="s">
        <v>19</v>
      </c>
      <c r="N40" s="3"/>
    </row>
    <row r="41" spans="1:14">
      <c r="A41" s="2" t="s">
        <v>101</v>
      </c>
      <c r="B41" s="2" t="s">
        <v>11</v>
      </c>
      <c r="C41" s="2" t="s">
        <v>12</v>
      </c>
      <c r="D41" s="2" t="s">
        <v>13</v>
      </c>
      <c r="E41" s="2" t="s">
        <v>14</v>
      </c>
      <c r="F41" s="2" t="s">
        <v>15</v>
      </c>
      <c r="G41" s="2" t="s">
        <v>93</v>
      </c>
      <c r="H41" s="2" t="s">
        <v>102</v>
      </c>
      <c r="I41" s="12" t="s">
        <v>244</v>
      </c>
      <c r="J41">
        <v>446.55443480000002</v>
      </c>
      <c r="K41">
        <v>147.72535690000001</v>
      </c>
      <c r="L41" s="1" t="s">
        <v>18</v>
      </c>
      <c r="M41" s="1" t="s">
        <v>19</v>
      </c>
      <c r="N41" s="3"/>
    </row>
    <row r="42" spans="1:14">
      <c r="A42" s="2" t="s">
        <v>103</v>
      </c>
      <c r="B42" s="2" t="s">
        <v>11</v>
      </c>
      <c r="C42" s="2" t="s">
        <v>12</v>
      </c>
      <c r="D42" s="2" t="s">
        <v>13</v>
      </c>
      <c r="E42" s="2" t="s">
        <v>14</v>
      </c>
      <c r="F42" s="2" t="s">
        <v>15</v>
      </c>
      <c r="G42" s="2" t="s">
        <v>93</v>
      </c>
      <c r="H42" s="2" t="s">
        <v>104</v>
      </c>
      <c r="I42" s="12" t="s">
        <v>244</v>
      </c>
      <c r="J42">
        <v>326.48166529999997</v>
      </c>
      <c r="K42">
        <v>147.72534160000001</v>
      </c>
      <c r="L42" s="1" t="s">
        <v>18</v>
      </c>
      <c r="M42" s="1" t="s">
        <v>19</v>
      </c>
      <c r="N42" s="3"/>
    </row>
    <row r="43" spans="1:14">
      <c r="A43" s="2" t="s">
        <v>105</v>
      </c>
      <c r="B43" s="2" t="s">
        <v>11</v>
      </c>
      <c r="C43" s="2" t="s">
        <v>12</v>
      </c>
      <c r="D43" s="2" t="s">
        <v>13</v>
      </c>
      <c r="E43" s="2" t="s">
        <v>14</v>
      </c>
      <c r="F43" s="2" t="s">
        <v>15</v>
      </c>
      <c r="G43" s="2" t="s">
        <v>93</v>
      </c>
      <c r="H43" s="2" t="s">
        <v>106</v>
      </c>
      <c r="I43" s="12" t="s">
        <v>244</v>
      </c>
      <c r="J43">
        <v>318.63544180000002</v>
      </c>
      <c r="K43">
        <v>177.44072</v>
      </c>
      <c r="L43" s="1" t="s">
        <v>18</v>
      </c>
      <c r="M43" s="1" t="s">
        <v>19</v>
      </c>
      <c r="N43" s="3"/>
    </row>
    <row r="44" spans="1:14">
      <c r="A44" s="2" t="s">
        <v>107</v>
      </c>
      <c r="B44" s="2" t="s">
        <v>11</v>
      </c>
      <c r="C44" s="2" t="s">
        <v>12</v>
      </c>
      <c r="D44" s="2" t="s">
        <v>13</v>
      </c>
      <c r="E44" s="2" t="s">
        <v>14</v>
      </c>
      <c r="F44" s="2" t="s">
        <v>15</v>
      </c>
      <c r="G44" s="2" t="s">
        <v>108</v>
      </c>
      <c r="H44" s="2" t="s">
        <v>109</v>
      </c>
      <c r="I44" s="13" t="s">
        <v>245</v>
      </c>
      <c r="J44">
        <v>103.8527</v>
      </c>
      <c r="K44">
        <v>66.995999999999995</v>
      </c>
      <c r="L44" s="1" t="s">
        <v>18</v>
      </c>
      <c r="M44" s="1" t="s">
        <v>19</v>
      </c>
      <c r="N44" s="3"/>
    </row>
    <row r="45" spans="1:14">
      <c r="A45" s="2" t="s">
        <v>110</v>
      </c>
      <c r="B45" s="2" t="s">
        <v>11</v>
      </c>
      <c r="C45" s="2" t="s">
        <v>12</v>
      </c>
      <c r="D45" s="2" t="s">
        <v>13</v>
      </c>
      <c r="E45" s="2" t="s">
        <v>14</v>
      </c>
      <c r="F45" s="2" t="s">
        <v>15</v>
      </c>
      <c r="G45" s="2" t="s">
        <v>108</v>
      </c>
      <c r="H45" s="2" t="s">
        <v>111</v>
      </c>
      <c r="I45" s="13" t="s">
        <v>245</v>
      </c>
      <c r="J45">
        <v>126.9821</v>
      </c>
      <c r="K45">
        <v>66.995999999999995</v>
      </c>
      <c r="L45" s="1" t="s">
        <v>18</v>
      </c>
      <c r="M45" s="1" t="s">
        <v>19</v>
      </c>
      <c r="N45" s="3"/>
    </row>
    <row r="46" spans="1:14">
      <c r="A46" s="2" t="s">
        <v>112</v>
      </c>
      <c r="B46" s="2" t="s">
        <v>11</v>
      </c>
      <c r="C46" s="2" t="s">
        <v>12</v>
      </c>
      <c r="D46" s="2" t="s">
        <v>13</v>
      </c>
      <c r="E46" s="2" t="s">
        <v>14</v>
      </c>
      <c r="F46" s="2" t="s">
        <v>15</v>
      </c>
      <c r="G46" s="2" t="s">
        <v>108</v>
      </c>
      <c r="H46" s="2" t="s">
        <v>113</v>
      </c>
      <c r="I46" s="13" t="s">
        <v>245</v>
      </c>
      <c r="J46">
        <v>126.9821</v>
      </c>
      <c r="K46">
        <v>100.1027</v>
      </c>
      <c r="L46" s="1" t="s">
        <v>18</v>
      </c>
      <c r="M46" s="1" t="s">
        <v>19</v>
      </c>
      <c r="N46" s="3"/>
    </row>
    <row r="47" spans="1:14">
      <c r="A47" s="2" t="s">
        <v>114</v>
      </c>
      <c r="B47" s="2" t="s">
        <v>11</v>
      </c>
      <c r="C47" s="2" t="s">
        <v>12</v>
      </c>
      <c r="D47" s="2" t="s">
        <v>13</v>
      </c>
      <c r="E47" s="2" t="s">
        <v>14</v>
      </c>
      <c r="F47" s="2" t="s">
        <v>15</v>
      </c>
      <c r="G47" s="2" t="s">
        <v>108</v>
      </c>
      <c r="H47" s="2" t="s">
        <v>115</v>
      </c>
      <c r="I47" s="13" t="s">
        <v>245</v>
      </c>
      <c r="J47">
        <v>103.8527</v>
      </c>
      <c r="K47">
        <v>100.1027</v>
      </c>
      <c r="L47" s="1" t="s">
        <v>18</v>
      </c>
      <c r="M47" s="1" t="s">
        <v>19</v>
      </c>
      <c r="N47" s="3"/>
    </row>
    <row r="48" spans="1:14">
      <c r="A48" s="2" t="s">
        <v>116</v>
      </c>
      <c r="B48" s="2" t="s">
        <v>11</v>
      </c>
      <c r="C48" s="2" t="s">
        <v>12</v>
      </c>
      <c r="D48" s="2" t="s">
        <v>13</v>
      </c>
      <c r="E48" s="2" t="s">
        <v>14</v>
      </c>
      <c r="F48" s="2" t="s">
        <v>15</v>
      </c>
      <c r="G48" s="2" t="s">
        <v>108</v>
      </c>
      <c r="H48" s="2" t="s">
        <v>117</v>
      </c>
      <c r="I48" s="13" t="s">
        <v>245</v>
      </c>
      <c r="J48">
        <v>103.8527</v>
      </c>
      <c r="K48">
        <v>71.072599999999994</v>
      </c>
      <c r="L48" s="1" t="s">
        <v>18</v>
      </c>
      <c r="M48" s="1" t="s">
        <v>19</v>
      </c>
      <c r="N48" s="3"/>
    </row>
    <row r="49" spans="1:14">
      <c r="A49" s="2" t="s">
        <v>118</v>
      </c>
      <c r="B49" s="2" t="s">
        <v>11</v>
      </c>
      <c r="C49" s="2" t="s">
        <v>12</v>
      </c>
      <c r="D49" s="2" t="s">
        <v>13</v>
      </c>
      <c r="E49" s="2" t="s">
        <v>14</v>
      </c>
      <c r="F49" s="2" t="s">
        <v>15</v>
      </c>
      <c r="G49" s="2" t="s">
        <v>119</v>
      </c>
      <c r="H49" s="2" t="s">
        <v>120</v>
      </c>
      <c r="I49" s="12" t="s">
        <v>244</v>
      </c>
      <c r="J49">
        <v>227.44100309999999</v>
      </c>
      <c r="K49">
        <v>182.75207</v>
      </c>
      <c r="L49" s="1" t="s">
        <v>18</v>
      </c>
      <c r="M49" s="1" t="s">
        <v>19</v>
      </c>
      <c r="N49" s="3"/>
    </row>
    <row r="50" spans="1:14">
      <c r="A50" s="2" t="s">
        <v>121</v>
      </c>
      <c r="B50" s="2" t="s">
        <v>11</v>
      </c>
      <c r="C50" s="2" t="s">
        <v>12</v>
      </c>
      <c r="D50" s="2" t="s">
        <v>13</v>
      </c>
      <c r="E50" s="2" t="s">
        <v>14</v>
      </c>
      <c r="F50" s="2" t="s">
        <v>15</v>
      </c>
      <c r="G50" s="2" t="s">
        <v>119</v>
      </c>
      <c r="H50" s="2" t="s">
        <v>122</v>
      </c>
      <c r="I50" s="12" t="s">
        <v>244</v>
      </c>
      <c r="J50">
        <v>227.44100309999999</v>
      </c>
      <c r="K50">
        <v>195.2688459</v>
      </c>
      <c r="L50" s="1" t="s">
        <v>18</v>
      </c>
      <c r="M50" s="1" t="s">
        <v>19</v>
      </c>
      <c r="N50" s="3"/>
    </row>
    <row r="51" spans="1:14">
      <c r="A51" s="2" t="s">
        <v>123</v>
      </c>
      <c r="B51" s="2" t="s">
        <v>11</v>
      </c>
      <c r="C51" s="2" t="s">
        <v>12</v>
      </c>
      <c r="D51" s="2" t="s">
        <v>13</v>
      </c>
      <c r="E51" s="2" t="s">
        <v>14</v>
      </c>
      <c r="F51" s="2" t="s">
        <v>15</v>
      </c>
      <c r="G51" s="2" t="s">
        <v>119</v>
      </c>
      <c r="H51" s="2" t="s">
        <v>124</v>
      </c>
      <c r="I51" s="12" t="s">
        <v>244</v>
      </c>
      <c r="J51">
        <v>236.72121200000001</v>
      </c>
      <c r="K51">
        <v>195.2688459</v>
      </c>
      <c r="L51" s="1" t="s">
        <v>18</v>
      </c>
      <c r="M51" s="1" t="s">
        <v>19</v>
      </c>
      <c r="N51" s="3"/>
    </row>
    <row r="52" spans="1:14">
      <c r="A52" s="2" t="s">
        <v>125</v>
      </c>
      <c r="B52" s="2" t="s">
        <v>11</v>
      </c>
      <c r="C52" s="2" t="s">
        <v>12</v>
      </c>
      <c r="D52" s="2" t="s">
        <v>13</v>
      </c>
      <c r="E52" s="2" t="s">
        <v>14</v>
      </c>
      <c r="F52" s="2" t="s">
        <v>15</v>
      </c>
      <c r="G52" s="2" t="s">
        <v>119</v>
      </c>
      <c r="H52" s="2" t="s">
        <v>126</v>
      </c>
      <c r="I52" s="12" t="s">
        <v>244</v>
      </c>
      <c r="J52">
        <v>249.00190649999999</v>
      </c>
      <c r="K52">
        <v>195.2688459</v>
      </c>
      <c r="L52" s="1" t="s">
        <v>18</v>
      </c>
      <c r="M52" s="1" t="s">
        <v>19</v>
      </c>
      <c r="N52" s="3"/>
    </row>
    <row r="53" spans="1:14">
      <c r="A53" s="2" t="s">
        <v>127</v>
      </c>
      <c r="B53" s="2" t="s">
        <v>11</v>
      </c>
      <c r="C53" s="2" t="s">
        <v>12</v>
      </c>
      <c r="D53" s="2" t="s">
        <v>13</v>
      </c>
      <c r="E53" s="2" t="s">
        <v>14</v>
      </c>
      <c r="F53" s="2" t="s">
        <v>15</v>
      </c>
      <c r="G53" s="2" t="s">
        <v>119</v>
      </c>
      <c r="H53" s="2" t="s">
        <v>128</v>
      </c>
      <c r="I53" s="12" t="s">
        <v>244</v>
      </c>
      <c r="J53">
        <v>255.6716596</v>
      </c>
      <c r="K53">
        <v>215.96300919999999</v>
      </c>
      <c r="L53" s="1" t="s">
        <v>18</v>
      </c>
      <c r="M53" s="1" t="s">
        <v>19</v>
      </c>
      <c r="N53" s="3"/>
    </row>
    <row r="54" spans="1:14">
      <c r="A54" s="2" t="s">
        <v>129</v>
      </c>
      <c r="B54" s="2" t="s">
        <v>11</v>
      </c>
      <c r="C54" s="2" t="s">
        <v>12</v>
      </c>
      <c r="D54" s="2" t="s">
        <v>13</v>
      </c>
      <c r="E54" s="2" t="s">
        <v>14</v>
      </c>
      <c r="F54" s="2" t="s">
        <v>15</v>
      </c>
      <c r="G54" s="2" t="s">
        <v>119</v>
      </c>
      <c r="H54" s="2" t="s">
        <v>130</v>
      </c>
      <c r="I54" s="12" t="s">
        <v>244</v>
      </c>
      <c r="J54">
        <v>255.6716596</v>
      </c>
      <c r="K54">
        <v>224.94093710000001</v>
      </c>
      <c r="L54" s="1" t="s">
        <v>18</v>
      </c>
      <c r="M54" s="1" t="s">
        <v>19</v>
      </c>
      <c r="N54" s="3"/>
    </row>
    <row r="55" spans="1:14">
      <c r="A55" s="2" t="s">
        <v>131</v>
      </c>
      <c r="B55" s="2" t="s">
        <v>11</v>
      </c>
      <c r="C55" s="2" t="s">
        <v>12</v>
      </c>
      <c r="D55" s="2" t="s">
        <v>13</v>
      </c>
      <c r="E55" s="2" t="s">
        <v>14</v>
      </c>
      <c r="F55" s="2" t="s">
        <v>15</v>
      </c>
      <c r="G55" s="2" t="s">
        <v>119</v>
      </c>
      <c r="H55" s="2" t="s">
        <v>132</v>
      </c>
      <c r="I55" s="12" t="s">
        <v>244</v>
      </c>
      <c r="J55">
        <v>264.58145739999998</v>
      </c>
      <c r="K55">
        <v>236.0520439</v>
      </c>
      <c r="L55" s="1" t="s">
        <v>18</v>
      </c>
      <c r="M55" s="1" t="s">
        <v>19</v>
      </c>
      <c r="N55" s="3"/>
    </row>
    <row r="56" spans="1:14">
      <c r="A56" s="2" t="s">
        <v>133</v>
      </c>
      <c r="B56" s="2" t="s">
        <v>11</v>
      </c>
      <c r="C56" s="2" t="s">
        <v>12</v>
      </c>
      <c r="D56" s="2" t="s">
        <v>13</v>
      </c>
      <c r="E56" s="2" t="s">
        <v>14</v>
      </c>
      <c r="F56" s="2" t="s">
        <v>15</v>
      </c>
      <c r="G56" s="2" t="s">
        <v>119</v>
      </c>
      <c r="H56" s="2" t="s">
        <v>134</v>
      </c>
      <c r="I56" s="12" t="s">
        <v>244</v>
      </c>
      <c r="J56">
        <v>265.50251839999999</v>
      </c>
      <c r="K56">
        <v>270.34656219999999</v>
      </c>
      <c r="L56" s="1" t="s">
        <v>18</v>
      </c>
      <c r="M56" s="1" t="s">
        <v>19</v>
      </c>
      <c r="N56" s="3"/>
    </row>
    <row r="57" spans="1:14">
      <c r="A57" s="2" t="s">
        <v>135</v>
      </c>
      <c r="B57" s="2" t="s">
        <v>11</v>
      </c>
      <c r="C57" s="2" t="s">
        <v>12</v>
      </c>
      <c r="D57" s="2" t="s">
        <v>13</v>
      </c>
      <c r="E57" s="2" t="s">
        <v>14</v>
      </c>
      <c r="F57" s="2" t="s">
        <v>15</v>
      </c>
      <c r="G57" s="2" t="s">
        <v>119</v>
      </c>
      <c r="H57" s="2" t="s">
        <v>136</v>
      </c>
      <c r="I57" s="12" t="s">
        <v>244</v>
      </c>
      <c r="J57">
        <v>279.1483806</v>
      </c>
      <c r="K57">
        <v>270.34656219999999</v>
      </c>
      <c r="L57" s="1" t="s">
        <v>18</v>
      </c>
      <c r="M57" s="1" t="s">
        <v>19</v>
      </c>
      <c r="N57" s="3"/>
    </row>
    <row r="58" spans="1:14">
      <c r="A58" s="2" t="s">
        <v>137</v>
      </c>
      <c r="B58" s="2" t="s">
        <v>11</v>
      </c>
      <c r="C58" s="2" t="s">
        <v>12</v>
      </c>
      <c r="D58" s="2" t="s">
        <v>13</v>
      </c>
      <c r="E58" s="2" t="s">
        <v>14</v>
      </c>
      <c r="F58" s="2" t="s">
        <v>15</v>
      </c>
      <c r="G58" s="2" t="s">
        <v>119</v>
      </c>
      <c r="H58" s="2" t="s">
        <v>138</v>
      </c>
      <c r="I58" s="12" t="s">
        <v>244</v>
      </c>
      <c r="J58">
        <v>279.1483806</v>
      </c>
      <c r="K58">
        <v>219.29788579999999</v>
      </c>
      <c r="L58" s="1" t="s">
        <v>18</v>
      </c>
      <c r="M58" s="1" t="s">
        <v>19</v>
      </c>
      <c r="N58" s="3"/>
    </row>
    <row r="59" spans="1:14">
      <c r="A59" s="2" t="s">
        <v>139</v>
      </c>
      <c r="B59" s="2" t="s">
        <v>11</v>
      </c>
      <c r="C59" s="2" t="s">
        <v>12</v>
      </c>
      <c r="D59" s="2" t="s">
        <v>13</v>
      </c>
      <c r="E59" s="2" t="s">
        <v>14</v>
      </c>
      <c r="F59" s="2" t="s">
        <v>15</v>
      </c>
      <c r="G59" s="2" t="s">
        <v>119</v>
      </c>
      <c r="H59" s="2" t="s">
        <v>140</v>
      </c>
      <c r="I59" s="12" t="s">
        <v>244</v>
      </c>
      <c r="J59">
        <v>279.1483806</v>
      </c>
      <c r="K59">
        <v>172.85977199999999</v>
      </c>
      <c r="L59" s="1" t="s">
        <v>18</v>
      </c>
      <c r="M59" s="1" t="s">
        <v>19</v>
      </c>
      <c r="N59" s="3"/>
    </row>
    <row r="60" spans="1:14">
      <c r="A60" s="2" t="s">
        <v>141</v>
      </c>
      <c r="B60" s="2" t="s">
        <v>11</v>
      </c>
      <c r="C60" s="2" t="s">
        <v>12</v>
      </c>
      <c r="D60" s="2" t="s">
        <v>13</v>
      </c>
      <c r="E60" s="2" t="s">
        <v>14</v>
      </c>
      <c r="F60" s="2" t="s">
        <v>15</v>
      </c>
      <c r="G60" s="2" t="s">
        <v>119</v>
      </c>
      <c r="H60" s="2" t="s">
        <v>142</v>
      </c>
      <c r="I60" s="12" t="s">
        <v>244</v>
      </c>
      <c r="J60">
        <v>249.00190649999999</v>
      </c>
      <c r="K60">
        <v>172.26588520000001</v>
      </c>
      <c r="L60" s="1" t="s">
        <v>18</v>
      </c>
      <c r="M60" s="1" t="s">
        <v>19</v>
      </c>
      <c r="N60" s="3"/>
    </row>
    <row r="61" spans="1:14">
      <c r="A61" s="2" t="s">
        <v>143</v>
      </c>
      <c r="B61" s="2" t="s">
        <v>11</v>
      </c>
      <c r="C61" s="2" t="s">
        <v>12</v>
      </c>
      <c r="D61" s="2" t="s">
        <v>13</v>
      </c>
      <c r="E61" s="2" t="s">
        <v>14</v>
      </c>
      <c r="F61" s="2" t="s">
        <v>15</v>
      </c>
      <c r="G61" s="2" t="s">
        <v>119</v>
      </c>
      <c r="H61" s="2" t="s">
        <v>144</v>
      </c>
      <c r="I61" s="12" t="s">
        <v>244</v>
      </c>
      <c r="J61">
        <v>227.44100309999999</v>
      </c>
      <c r="K61">
        <v>172.26588520000001</v>
      </c>
      <c r="L61" s="1" t="s">
        <v>18</v>
      </c>
      <c r="M61" s="1" t="s">
        <v>19</v>
      </c>
      <c r="N61" s="3"/>
    </row>
    <row r="62" spans="1:14">
      <c r="A62" s="2" t="s">
        <v>145</v>
      </c>
      <c r="B62" s="2" t="s">
        <v>11</v>
      </c>
      <c r="C62" s="2" t="s">
        <v>12</v>
      </c>
      <c r="D62" s="2" t="s">
        <v>13</v>
      </c>
      <c r="E62" s="2" t="s">
        <v>14</v>
      </c>
      <c r="F62" s="2" t="s">
        <v>15</v>
      </c>
      <c r="G62" s="2" t="s">
        <v>119</v>
      </c>
      <c r="H62" s="2" t="s">
        <v>146</v>
      </c>
      <c r="I62" s="12" t="s">
        <v>244</v>
      </c>
      <c r="J62">
        <v>256.32040080000002</v>
      </c>
      <c r="K62">
        <v>265.13263449999999</v>
      </c>
      <c r="L62" s="1" t="s">
        <v>147</v>
      </c>
      <c r="M62" s="1" t="s">
        <v>19</v>
      </c>
      <c r="N62" s="3"/>
    </row>
    <row r="63" spans="1:14">
      <c r="A63" s="2" t="s">
        <v>148</v>
      </c>
      <c r="B63" s="2" t="s">
        <v>11</v>
      </c>
      <c r="C63" s="2" t="s">
        <v>12</v>
      </c>
      <c r="D63" s="2" t="s">
        <v>13</v>
      </c>
      <c r="E63" s="2" t="s">
        <v>14</v>
      </c>
      <c r="F63" s="2" t="s">
        <v>15</v>
      </c>
      <c r="G63" s="2" t="s">
        <v>119</v>
      </c>
      <c r="H63" s="2" t="s">
        <v>149</v>
      </c>
      <c r="I63" s="12" t="s">
        <v>244</v>
      </c>
      <c r="J63">
        <v>243.1853533</v>
      </c>
      <c r="K63">
        <v>307.76630590000002</v>
      </c>
      <c r="L63" s="1" t="s">
        <v>147</v>
      </c>
      <c r="M63" s="1" t="s">
        <v>19</v>
      </c>
      <c r="N63" s="3"/>
    </row>
    <row r="64" spans="1:14">
      <c r="A64" s="2" t="s">
        <v>150</v>
      </c>
      <c r="B64" s="2" t="s">
        <v>11</v>
      </c>
      <c r="C64" s="2" t="s">
        <v>12</v>
      </c>
      <c r="D64" s="2" t="s">
        <v>13</v>
      </c>
      <c r="E64" s="2" t="s">
        <v>14</v>
      </c>
      <c r="F64" s="2" t="s">
        <v>15</v>
      </c>
      <c r="G64" s="2" t="s">
        <v>119</v>
      </c>
      <c r="H64" s="2" t="s">
        <v>151</v>
      </c>
      <c r="I64" s="12" t="s">
        <v>244</v>
      </c>
      <c r="J64">
        <v>286.05632659999998</v>
      </c>
      <c r="K64">
        <v>185.09233620000001</v>
      </c>
      <c r="L64" s="1" t="s">
        <v>147</v>
      </c>
      <c r="M64" s="1" t="s">
        <v>19</v>
      </c>
      <c r="N64" s="3"/>
    </row>
    <row r="65" spans="1:14">
      <c r="A65" s="2" t="s">
        <v>152</v>
      </c>
      <c r="B65" s="2" t="s">
        <v>11</v>
      </c>
      <c r="C65" s="2" t="s">
        <v>12</v>
      </c>
      <c r="D65" s="2" t="s">
        <v>13</v>
      </c>
      <c r="E65" s="2" t="s">
        <v>14</v>
      </c>
      <c r="F65" s="2" t="s">
        <v>15</v>
      </c>
      <c r="G65" s="2" t="s">
        <v>119</v>
      </c>
      <c r="H65" s="2" t="s">
        <v>153</v>
      </c>
      <c r="I65" s="12" t="s">
        <v>244</v>
      </c>
      <c r="J65">
        <v>319.42163119999998</v>
      </c>
      <c r="K65">
        <v>185.09233620000001</v>
      </c>
      <c r="L65" s="1" t="s">
        <v>147</v>
      </c>
      <c r="M65" s="1" t="s">
        <v>19</v>
      </c>
      <c r="N65" s="3"/>
    </row>
    <row r="66" spans="1:14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1:14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1:14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1:14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1:14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1:14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4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spans="1:14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1:14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spans="1:14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spans="1:14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spans="1:14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spans="1:14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spans="1:14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spans="1:14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1:14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4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1:1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1:14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1:14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1:14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1:14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1:14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1:14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1:14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1:14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1:14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1:1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1:14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1:14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1:14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1:14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1:14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1:14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1:1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1:14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1:14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1:14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1:14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1:14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1:14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1:14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1:14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1:14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1: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1:14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1:14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1:14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1:14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1:14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1:14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1:14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1:14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1:14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1:1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1:14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1:14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spans="1:14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spans="1:14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spans="1:14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1:14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1:14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1:14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1:14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1:1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1:14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1:14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1:14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1:14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1:14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1:14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1:14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1:14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1:14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1:1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1:14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1:14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1:14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1:14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1:14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1:14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1:14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1:14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1:14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1:1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1:14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1:14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1:14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1:14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1:14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1:14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1:14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1:14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1:14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1:1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1:14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1:14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1:14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1:14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1:14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1:14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1:14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1:14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1:14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1:1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spans="1:14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spans="1:14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spans="1:14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spans="1:14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spans="1:14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spans="1:14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spans="1:14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spans="1:14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spans="1:14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spans="1:1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spans="1:14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spans="1:14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spans="1:14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spans="1:14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spans="1:14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spans="1:14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spans="1:14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spans="1:14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spans="1:14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spans="1:1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spans="1:14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spans="1:14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spans="1:14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spans="1:14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spans="1:14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spans="1:14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 spans="1:14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spans="1:14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 spans="1:14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 spans="1:1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spans="1:14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 spans="1:14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 spans="1:14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spans="1:14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 spans="1:14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 spans="1:14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</row>
    <row r="211" spans="1:14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 spans="1:14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</row>
    <row r="213" spans="1:14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 spans="1: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 spans="1:14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 spans="1:14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</row>
    <row r="217" spans="1:14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 spans="1:14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</row>
    <row r="219" spans="1:14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</row>
    <row r="220" spans="1:14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 spans="1:14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 spans="1:14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 spans="1:14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 spans="1:1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 spans="1:14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 spans="1:14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 spans="1:14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 spans="1:14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 spans="1:14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spans="1:14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 spans="1:14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 spans="1:14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 spans="1:14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spans="1:1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 spans="1:14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spans="1:14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spans="1:14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 spans="1:14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spans="1:14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spans="1:14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 spans="1:14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spans="1:14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spans="1:14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 spans="1:1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spans="1:14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 spans="1:14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 spans="1:14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spans="1:14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spans="1:14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 spans="1:14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spans="1:14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 spans="1:14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 spans="1:14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spans="1:1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 spans="1:14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spans="1:14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 spans="1:14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spans="1:14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spans="1:14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spans="1:14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</row>
    <row r="261" spans="1:14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</row>
    <row r="262" spans="1:14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 spans="1:14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</row>
    <row r="264" spans="1:1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</row>
    <row r="265" spans="1:14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 spans="1:14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</row>
    <row r="267" spans="1:14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 spans="1:14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 spans="1:14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</row>
    <row r="270" spans="1:14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</row>
    <row r="271" spans="1:14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 spans="1:14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</row>
    <row r="273" spans="1:14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</row>
    <row r="274" spans="1:1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 spans="1:14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</row>
    <row r="276" spans="1:14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</row>
    <row r="277" spans="1:14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</row>
    <row r="278" spans="1:14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</row>
    <row r="279" spans="1:14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</row>
    <row r="280" spans="1:14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</row>
    <row r="281" spans="1:14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</row>
    <row r="282" spans="1:14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</row>
    <row r="283" spans="1:14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 spans="1:1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</row>
    <row r="285" spans="1:14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</row>
    <row r="286" spans="1:14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</row>
    <row r="287" spans="1:14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</row>
    <row r="288" spans="1:14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</row>
    <row r="289" spans="1:14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 spans="1:14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</row>
    <row r="291" spans="1:14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</row>
    <row r="292" spans="1:14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</row>
    <row r="293" spans="1:14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</row>
    <row r="294" spans="1:1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</row>
    <row r="295" spans="1:14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 spans="1:14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</row>
    <row r="297" spans="1:14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</row>
    <row r="298" spans="1:14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</row>
    <row r="299" spans="1:14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</row>
    <row r="300" spans="1:14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</row>
    <row r="301" spans="1:14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</row>
    <row r="302" spans="1:14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</row>
    <row r="303" spans="1:14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</row>
    <row r="304" spans="1:1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</row>
    <row r="305" spans="1:14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</row>
    <row r="306" spans="1:14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</row>
    <row r="307" spans="1:14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</row>
    <row r="308" spans="1:14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</row>
    <row r="309" spans="1:14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</row>
    <row r="310" spans="1:14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</row>
    <row r="311" spans="1:14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</row>
    <row r="312" spans="1:14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</row>
    <row r="313" spans="1:14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</row>
    <row r="314" spans="1: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</row>
    <row r="315" spans="1:14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</row>
    <row r="316" spans="1:14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</row>
    <row r="317" spans="1:14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</row>
    <row r="318" spans="1:14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</row>
    <row r="319" spans="1:14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</row>
    <row r="320" spans="1:14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</row>
    <row r="321" spans="1:14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</row>
    <row r="322" spans="1:14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</row>
    <row r="323" spans="1:14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</row>
    <row r="324" spans="1:1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</row>
    <row r="325" spans="1:14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</row>
    <row r="326" spans="1:14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</row>
    <row r="327" spans="1:14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</row>
    <row r="328" spans="1:14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</row>
    <row r="329" spans="1:14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</row>
    <row r="330" spans="1:14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</row>
    <row r="331" spans="1:14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</row>
    <row r="332" spans="1:14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</row>
    <row r="333" spans="1:14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</row>
    <row r="334" spans="1:1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</row>
    <row r="335" spans="1:14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</row>
    <row r="336" spans="1:14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</row>
    <row r="337" spans="1:14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</row>
    <row r="338" spans="1:14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</row>
    <row r="339" spans="1:14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</row>
    <row r="340" spans="1:14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</row>
    <row r="341" spans="1:14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</row>
    <row r="342" spans="1:14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</row>
    <row r="343" spans="1:14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</row>
    <row r="344" spans="1:1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</row>
    <row r="345" spans="1:14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</row>
    <row r="346" spans="1:14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</row>
    <row r="347" spans="1:14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</row>
    <row r="348" spans="1:14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</row>
    <row r="349" spans="1:14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</row>
    <row r="350" spans="1:14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</row>
    <row r="351" spans="1:14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</row>
    <row r="352" spans="1:14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</row>
    <row r="353" spans="1:14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</row>
    <row r="354" spans="1:1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</row>
    <row r="355" spans="1:14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</row>
    <row r="356" spans="1:14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</row>
    <row r="357" spans="1:14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</row>
    <row r="358" spans="1:14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</row>
    <row r="359" spans="1:14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</row>
    <row r="360" spans="1:14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</row>
    <row r="361" spans="1:14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</row>
    <row r="362" spans="1:14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</row>
    <row r="363" spans="1:14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</row>
    <row r="364" spans="1:1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</row>
    <row r="365" spans="1:14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</row>
    <row r="366" spans="1:14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</row>
    <row r="367" spans="1:14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</row>
    <row r="368" spans="1:14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</row>
    <row r="369" spans="1:14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</row>
    <row r="370" spans="1:14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r="371" spans="1:14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</row>
    <row r="372" spans="1:14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</row>
    <row r="373" spans="1:14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</row>
    <row r="374" spans="1:1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</row>
    <row r="375" spans="1:14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</row>
    <row r="376" spans="1:14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</row>
    <row r="377" spans="1:14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</row>
    <row r="378" spans="1:14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</row>
    <row r="379" spans="1:14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r="380" spans="1:14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</row>
    <row r="381" spans="1:14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</row>
    <row r="382" spans="1:14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</row>
    <row r="383" spans="1:14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</row>
    <row r="384" spans="1:1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</row>
    <row r="385" spans="1:14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</row>
    <row r="386" spans="1:14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</row>
    <row r="387" spans="1:14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</row>
    <row r="388" spans="1:14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</row>
    <row r="389" spans="1:14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</row>
    <row r="390" spans="1:14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</row>
    <row r="391" spans="1:14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</row>
    <row r="392" spans="1:14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</row>
    <row r="393" spans="1:14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</row>
    <row r="394" spans="1:1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</row>
    <row r="395" spans="1:14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</row>
    <row r="396" spans="1:14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</row>
    <row r="397" spans="1:14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</row>
    <row r="398" spans="1:14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</row>
    <row r="399" spans="1:14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</row>
    <row r="400" spans="1:14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</row>
    <row r="401" spans="1:14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</row>
    <row r="402" spans="1:14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</row>
    <row r="403" spans="1:14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</row>
    <row r="404" spans="1:1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</row>
    <row r="405" spans="1:14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</row>
    <row r="406" spans="1:14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</row>
    <row r="407" spans="1:14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</row>
    <row r="408" spans="1:14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</row>
    <row r="409" spans="1:14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</row>
    <row r="410" spans="1:14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</row>
    <row r="411" spans="1:14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</row>
    <row r="412" spans="1:14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</row>
    <row r="413" spans="1:14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</row>
    <row r="414" spans="1: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</row>
    <row r="415" spans="1:14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</row>
    <row r="416" spans="1:14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</row>
    <row r="417" spans="1:14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</row>
    <row r="418" spans="1:14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</row>
    <row r="419" spans="1:14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</row>
    <row r="420" spans="1:14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</row>
    <row r="421" spans="1:14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</row>
    <row r="422" spans="1:14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</row>
    <row r="423" spans="1:14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</row>
    <row r="424" spans="1:1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</row>
    <row r="425" spans="1:14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</row>
    <row r="426" spans="1:14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</row>
    <row r="427" spans="1:14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</row>
    <row r="428" spans="1:14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</row>
    <row r="429" spans="1:14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</row>
    <row r="430" spans="1:14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</row>
    <row r="431" spans="1:14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</row>
    <row r="432" spans="1:14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</row>
    <row r="433" spans="1:14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r="434" spans="1:1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</row>
    <row r="435" spans="1:14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</row>
    <row r="436" spans="1:14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</row>
    <row r="437" spans="1:14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</row>
    <row r="438" spans="1:14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</row>
    <row r="439" spans="1:14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r="440" spans="1:14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</row>
    <row r="441" spans="1:14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</row>
    <row r="442" spans="1:14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</row>
    <row r="443" spans="1:14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</row>
    <row r="444" spans="1:1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</row>
    <row r="445" spans="1:14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r="446" spans="1:14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</row>
    <row r="447" spans="1:14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</row>
    <row r="448" spans="1:14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</row>
    <row r="449" spans="1:14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</row>
    <row r="450" spans="1:14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</row>
    <row r="451" spans="1:14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r="452" spans="1:14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</row>
    <row r="453" spans="1:14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</row>
    <row r="454" spans="1:1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r="455" spans="1:14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</row>
    <row r="456" spans="1:14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</row>
    <row r="457" spans="1:14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</row>
    <row r="458" spans="1:14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</row>
    <row r="459" spans="1:14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</row>
    <row r="460" spans="1:14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r="461" spans="1:14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</row>
    <row r="462" spans="1:14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</row>
    <row r="463" spans="1:14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r="464" spans="1:1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</row>
    <row r="465" spans="1:14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</row>
    <row r="466" spans="1:14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</row>
    <row r="467" spans="1:14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</row>
    <row r="468" spans="1:14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</row>
    <row r="469" spans="1:14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r="470" spans="1:14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</row>
    <row r="471" spans="1:14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</row>
    <row r="472" spans="1:14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</row>
    <row r="473" spans="1:14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</row>
    <row r="474" spans="1:1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</row>
    <row r="475" spans="1:14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</row>
    <row r="476" spans="1:14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</row>
    <row r="477" spans="1:14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</row>
    <row r="478" spans="1:14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</row>
    <row r="479" spans="1:14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</row>
    <row r="480" spans="1:14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</row>
    <row r="481" spans="1:14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</row>
    <row r="482" spans="1:14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</row>
    <row r="483" spans="1:14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</row>
    <row r="484" spans="1:1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</row>
    <row r="485" spans="1:14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</row>
    <row r="486" spans="1:14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</row>
    <row r="487" spans="1:14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r="488" spans="1:14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</row>
    <row r="489" spans="1:14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</row>
    <row r="490" spans="1:14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</row>
    <row r="491" spans="1:14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</row>
    <row r="492" spans="1:14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</row>
    <row r="493" spans="1:14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r="494" spans="1:1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</row>
    <row r="495" spans="1:14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</row>
    <row r="496" spans="1:14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</row>
    <row r="497" spans="1:14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</row>
    <row r="498" spans="1:14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</row>
    <row r="499" spans="1:14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</row>
    <row r="500" spans="1:14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</row>
    <row r="501" spans="1:14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</row>
    <row r="502" spans="1:14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</row>
    <row r="503" spans="1:14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</row>
    <row r="504" spans="1:1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</row>
    <row r="505" spans="1:14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</row>
    <row r="506" spans="1:14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</row>
    <row r="507" spans="1:14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</row>
    <row r="508" spans="1:14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</row>
    <row r="509" spans="1:14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</row>
    <row r="510" spans="1:14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</row>
    <row r="511" spans="1:14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</row>
    <row r="512" spans="1:14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</row>
    <row r="513" spans="1:14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</row>
    <row r="514" spans="1: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</row>
    <row r="515" spans="1:14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</row>
    <row r="516" spans="1:14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</row>
    <row r="517" spans="1:14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</row>
    <row r="518" spans="1:14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</row>
    <row r="519" spans="1:14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</row>
    <row r="520" spans="1:14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</row>
    <row r="521" spans="1:14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</row>
    <row r="522" spans="1:14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</row>
    <row r="523" spans="1:14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</row>
    <row r="524" spans="1:1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</row>
    <row r="525" spans="1:14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</row>
    <row r="526" spans="1:14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</row>
    <row r="527" spans="1:14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</row>
    <row r="528" spans="1:14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</row>
    <row r="529" spans="1:14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</row>
    <row r="530" spans="1:14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</row>
    <row r="531" spans="1:14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</row>
    <row r="532" spans="1:14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</row>
    <row r="533" spans="1:14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</row>
    <row r="534" spans="1:1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</row>
    <row r="535" spans="1:14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</row>
    <row r="536" spans="1:14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</row>
    <row r="537" spans="1:14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</row>
    <row r="538" spans="1:14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</row>
    <row r="539" spans="1:14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</row>
    <row r="540" spans="1:14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</row>
    <row r="541" spans="1:14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</row>
    <row r="542" spans="1:14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</row>
    <row r="543" spans="1:14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</row>
    <row r="544" spans="1:1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</row>
    <row r="545" spans="1:14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</row>
    <row r="546" spans="1:14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</row>
    <row r="547" spans="1:14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</row>
    <row r="548" spans="1:14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</row>
    <row r="549" spans="1:14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</row>
    <row r="550" spans="1:14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</row>
    <row r="551" spans="1:14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</row>
    <row r="552" spans="1:14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</row>
    <row r="553" spans="1:14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</row>
    <row r="554" spans="1:1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</row>
    <row r="555" spans="1:14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</row>
    <row r="556" spans="1:14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</row>
    <row r="557" spans="1:14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</row>
    <row r="558" spans="1:14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</row>
    <row r="559" spans="1:14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</row>
    <row r="560" spans="1:14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</row>
    <row r="561" spans="1:14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</row>
    <row r="562" spans="1:14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</row>
    <row r="563" spans="1:14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</row>
    <row r="564" spans="1:1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</row>
    <row r="565" spans="1:14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</row>
    <row r="566" spans="1:14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</row>
    <row r="567" spans="1:14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</row>
    <row r="568" spans="1:14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</row>
    <row r="569" spans="1:14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</row>
    <row r="570" spans="1:14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</row>
    <row r="571" spans="1:14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</row>
    <row r="572" spans="1:14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</row>
    <row r="573" spans="1:14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</row>
    <row r="574" spans="1:1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</row>
    <row r="575" spans="1:14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</row>
    <row r="576" spans="1:14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</row>
    <row r="577" spans="1:14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</row>
    <row r="578" spans="1:14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</row>
    <row r="579" spans="1:14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</row>
    <row r="580" spans="1:14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</row>
    <row r="581" spans="1:14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</row>
    <row r="582" spans="1:14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</row>
    <row r="583" spans="1:14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</row>
    <row r="584" spans="1:1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</row>
    <row r="585" spans="1:14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</row>
    <row r="586" spans="1:14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</row>
    <row r="587" spans="1:14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</row>
    <row r="588" spans="1:14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</row>
    <row r="589" spans="1:14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</row>
    <row r="590" spans="1:14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</row>
    <row r="591" spans="1:14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</row>
    <row r="592" spans="1:14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</row>
    <row r="593" spans="1:14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</row>
    <row r="594" spans="1:1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</row>
    <row r="595" spans="1:14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</row>
    <row r="596" spans="1:14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</row>
    <row r="597" spans="1:14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</row>
    <row r="598" spans="1:14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</row>
    <row r="599" spans="1:14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</row>
    <row r="600" spans="1:14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</row>
    <row r="601" spans="1:14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</row>
    <row r="602" spans="1:14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</row>
    <row r="603" spans="1:14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</row>
    <row r="604" spans="1:1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</row>
    <row r="605" spans="1:14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</row>
    <row r="606" spans="1:14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</row>
    <row r="607" spans="1:14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</row>
    <row r="608" spans="1:14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</row>
    <row r="609" spans="1:14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</row>
    <row r="610" spans="1:14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</row>
    <row r="611" spans="1:14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</row>
    <row r="612" spans="1:14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</row>
    <row r="613" spans="1:14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</row>
    <row r="614" spans="1: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</row>
    <row r="615" spans="1:14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</row>
    <row r="616" spans="1:14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</row>
    <row r="617" spans="1:14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</row>
    <row r="618" spans="1:14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</row>
    <row r="619" spans="1:14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</row>
    <row r="620" spans="1:14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</row>
    <row r="621" spans="1:14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</row>
    <row r="622" spans="1:14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</row>
    <row r="623" spans="1:14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</row>
    <row r="624" spans="1:1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</row>
    <row r="625" spans="1:14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</row>
    <row r="626" spans="1:14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</row>
    <row r="627" spans="1:14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</row>
    <row r="628" spans="1:14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</row>
    <row r="629" spans="1:14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</row>
    <row r="630" spans="1:14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</row>
    <row r="631" spans="1:14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</row>
    <row r="632" spans="1:14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</row>
    <row r="633" spans="1:14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</row>
    <row r="634" spans="1:1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</row>
    <row r="635" spans="1:14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</row>
    <row r="636" spans="1:14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</row>
    <row r="637" spans="1:14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</row>
    <row r="638" spans="1:14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</row>
    <row r="639" spans="1:14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</row>
    <row r="640" spans="1:14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</row>
    <row r="641" spans="1:14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</row>
    <row r="642" spans="1:14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</row>
    <row r="643" spans="1:14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</row>
    <row r="644" spans="1:1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</row>
    <row r="645" spans="1:14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</row>
    <row r="646" spans="1:14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</row>
    <row r="647" spans="1:14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</row>
    <row r="648" spans="1:14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</row>
    <row r="649" spans="1:14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</row>
    <row r="650" spans="1:14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</row>
    <row r="651" spans="1:14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</row>
    <row r="652" spans="1:14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</row>
    <row r="653" spans="1:14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</row>
    <row r="654" spans="1:1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</row>
    <row r="655" spans="1:14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</row>
    <row r="656" spans="1:14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</row>
    <row r="657" spans="1:14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</row>
    <row r="658" spans="1:14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</row>
    <row r="659" spans="1:14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</row>
    <row r="660" spans="1:14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</row>
    <row r="661" spans="1:14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</row>
    <row r="662" spans="1:14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</row>
    <row r="663" spans="1:14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</row>
    <row r="664" spans="1:1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</row>
    <row r="665" spans="1:14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</row>
    <row r="666" spans="1:14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</row>
    <row r="667" spans="1:14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</row>
    <row r="668" spans="1:14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</row>
    <row r="669" spans="1:14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</row>
    <row r="670" spans="1:14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</row>
    <row r="671" spans="1:14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</row>
    <row r="672" spans="1:14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</row>
    <row r="673" spans="1:14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</row>
    <row r="674" spans="1:1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</row>
    <row r="675" spans="1:14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</row>
    <row r="676" spans="1:14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</row>
    <row r="677" spans="1:14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</row>
    <row r="678" spans="1:14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</row>
    <row r="679" spans="1:14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</row>
    <row r="680" spans="1:14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</row>
    <row r="681" spans="1:14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</row>
    <row r="682" spans="1:14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</row>
    <row r="683" spans="1:14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</row>
    <row r="684" spans="1:1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</row>
    <row r="685" spans="1:14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</row>
    <row r="686" spans="1:14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</row>
    <row r="687" spans="1:14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</row>
    <row r="688" spans="1:14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</row>
    <row r="689" spans="1:14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</row>
    <row r="690" spans="1:14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</row>
    <row r="691" spans="1:14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</row>
    <row r="692" spans="1:14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</row>
    <row r="693" spans="1:14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</row>
    <row r="694" spans="1:1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r="695" spans="1:14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</row>
    <row r="696" spans="1:14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</row>
    <row r="697" spans="1:14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</row>
    <row r="698" spans="1:14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</row>
    <row r="699" spans="1:14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</row>
    <row r="700" spans="1:14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</row>
    <row r="701" spans="1:14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</row>
    <row r="702" spans="1:14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</row>
    <row r="703" spans="1:14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</row>
    <row r="704" spans="1:1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</row>
    <row r="705" spans="1:14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</row>
    <row r="706" spans="1:14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</row>
    <row r="707" spans="1:14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</row>
    <row r="708" spans="1:14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</row>
    <row r="709" spans="1:14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</row>
    <row r="710" spans="1:14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</row>
    <row r="711" spans="1:14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</row>
    <row r="712" spans="1:14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</row>
    <row r="713" spans="1:14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</row>
    <row r="714" spans="1: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</row>
    <row r="715" spans="1:14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</row>
    <row r="716" spans="1:14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</row>
    <row r="717" spans="1:14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</row>
    <row r="718" spans="1:14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</row>
    <row r="719" spans="1:14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</row>
    <row r="720" spans="1:14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</row>
    <row r="721" spans="1:14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</row>
    <row r="722" spans="1:14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</row>
    <row r="723" spans="1:14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</row>
    <row r="724" spans="1:1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</row>
    <row r="725" spans="1:14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</row>
    <row r="726" spans="1:14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</row>
    <row r="727" spans="1:14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</row>
    <row r="728" spans="1:14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</row>
    <row r="729" spans="1:14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</row>
    <row r="730" spans="1:14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</row>
    <row r="731" spans="1:14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</row>
    <row r="732" spans="1:14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</row>
    <row r="733" spans="1:14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</row>
    <row r="734" spans="1:1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</row>
    <row r="735" spans="1:14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</row>
    <row r="736" spans="1:14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</row>
    <row r="737" spans="1:14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</row>
    <row r="738" spans="1:14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</row>
    <row r="739" spans="1:14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</row>
    <row r="740" spans="1:14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</row>
    <row r="741" spans="1:14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</row>
    <row r="742" spans="1:14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</row>
    <row r="743" spans="1:14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</row>
    <row r="744" spans="1:1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</row>
    <row r="745" spans="1:14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</row>
    <row r="746" spans="1:14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</row>
    <row r="747" spans="1:14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</row>
    <row r="748" spans="1:14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</row>
    <row r="749" spans="1:14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</row>
    <row r="750" spans="1:14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</row>
    <row r="751" spans="1:14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</row>
    <row r="752" spans="1:14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</row>
    <row r="753" spans="1:14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</row>
    <row r="754" spans="1:1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</row>
    <row r="755" spans="1:14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</row>
    <row r="756" spans="1:14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</row>
    <row r="757" spans="1:14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</row>
    <row r="758" spans="1:14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</row>
    <row r="759" spans="1:14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</row>
    <row r="760" spans="1:14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</row>
    <row r="761" spans="1:14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</row>
    <row r="762" spans="1:14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</row>
    <row r="763" spans="1:14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</row>
    <row r="764" spans="1:1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</row>
    <row r="765" spans="1:14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</row>
    <row r="766" spans="1:14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</row>
    <row r="767" spans="1:14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</row>
    <row r="768" spans="1:14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</row>
    <row r="769" spans="1:14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</row>
    <row r="770" spans="1:14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</row>
    <row r="771" spans="1:14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</row>
    <row r="772" spans="1:14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</row>
    <row r="773" spans="1:14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</row>
    <row r="774" spans="1:1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</row>
    <row r="775" spans="1:14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</row>
    <row r="776" spans="1:14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</row>
    <row r="777" spans="1:14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</row>
    <row r="778" spans="1:14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</row>
    <row r="779" spans="1:14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</row>
    <row r="780" spans="1:14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</row>
    <row r="781" spans="1:14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</row>
    <row r="782" spans="1:14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</row>
    <row r="783" spans="1:14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</row>
    <row r="784" spans="1:1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</row>
    <row r="785" spans="1:14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</row>
    <row r="786" spans="1:14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</row>
    <row r="787" spans="1:14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</row>
    <row r="788" spans="1:14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</row>
    <row r="789" spans="1:14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</row>
    <row r="790" spans="1:14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</row>
    <row r="791" spans="1:14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</row>
    <row r="792" spans="1:14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</row>
    <row r="793" spans="1:14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</row>
    <row r="794" spans="1:1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</row>
    <row r="795" spans="1:14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</row>
    <row r="796" spans="1:14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</row>
    <row r="797" spans="1:14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</row>
    <row r="798" spans="1:14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</row>
    <row r="799" spans="1:14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</row>
    <row r="800" spans="1:14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</row>
    <row r="801" spans="1:14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</row>
    <row r="802" spans="1:14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</row>
    <row r="803" spans="1:14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</row>
    <row r="804" spans="1:1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</row>
    <row r="805" spans="1:14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</row>
    <row r="806" spans="1:14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</row>
    <row r="807" spans="1:14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</row>
    <row r="808" spans="1:14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</row>
    <row r="809" spans="1:14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</row>
    <row r="810" spans="1:14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</row>
    <row r="811" spans="1:14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</row>
    <row r="812" spans="1:14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</row>
    <row r="813" spans="1:14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</row>
    <row r="814" spans="1: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</row>
    <row r="815" spans="1:14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</row>
    <row r="816" spans="1:14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</row>
    <row r="817" spans="1:14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</row>
    <row r="818" spans="1:14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</row>
    <row r="819" spans="1:14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</row>
    <row r="820" spans="1:14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</row>
    <row r="821" spans="1:14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</row>
    <row r="822" spans="1:14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</row>
    <row r="823" spans="1:14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</row>
    <row r="824" spans="1:1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</row>
    <row r="825" spans="1:14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</row>
    <row r="826" spans="1:14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</row>
    <row r="827" spans="1:14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</row>
    <row r="828" spans="1:14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</row>
    <row r="829" spans="1:14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</row>
    <row r="830" spans="1:14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</row>
    <row r="831" spans="1:14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</row>
    <row r="832" spans="1:14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</row>
    <row r="833" spans="1:14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</row>
    <row r="834" spans="1:1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</row>
    <row r="835" spans="1:14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</row>
    <row r="836" spans="1:14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</row>
    <row r="837" spans="1:14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</row>
    <row r="838" spans="1:14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</row>
    <row r="839" spans="1:14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</row>
    <row r="840" spans="1:14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</row>
    <row r="841" spans="1:14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</row>
    <row r="842" spans="1:14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</row>
    <row r="843" spans="1:14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</row>
    <row r="844" spans="1:1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</row>
    <row r="845" spans="1:14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</row>
    <row r="846" spans="1:14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</row>
    <row r="847" spans="1:14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</row>
    <row r="848" spans="1:14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</row>
    <row r="849" spans="1:14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</row>
    <row r="850" spans="1:14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</row>
    <row r="851" spans="1:14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</row>
    <row r="852" spans="1:14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</row>
    <row r="853" spans="1:14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</row>
    <row r="854" spans="1:1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</row>
    <row r="855" spans="1:14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</row>
    <row r="856" spans="1:14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</row>
    <row r="857" spans="1:14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</row>
    <row r="858" spans="1:14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</row>
    <row r="859" spans="1:14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</row>
    <row r="860" spans="1:14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</row>
    <row r="861" spans="1:14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</row>
    <row r="862" spans="1:14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</row>
    <row r="863" spans="1:14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</row>
    <row r="864" spans="1:1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</row>
    <row r="865" spans="1:14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</row>
    <row r="866" spans="1:14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</row>
    <row r="867" spans="1:14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</row>
    <row r="868" spans="1:14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</row>
    <row r="869" spans="1:14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</row>
    <row r="870" spans="1:14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</row>
    <row r="871" spans="1:14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</row>
    <row r="872" spans="1:14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</row>
    <row r="873" spans="1:14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</row>
    <row r="874" spans="1:1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</row>
    <row r="875" spans="1:14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</row>
    <row r="876" spans="1:14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</row>
    <row r="877" spans="1:14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</row>
    <row r="878" spans="1:14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</row>
    <row r="879" spans="1:14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</row>
    <row r="880" spans="1:14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</row>
    <row r="881" spans="1:14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</row>
    <row r="882" spans="1:14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</row>
    <row r="883" spans="1:14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</row>
    <row r="884" spans="1:1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</row>
    <row r="885" spans="1:14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</row>
    <row r="886" spans="1:14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</row>
    <row r="887" spans="1:14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</row>
    <row r="888" spans="1:14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</row>
    <row r="889" spans="1:14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</row>
    <row r="890" spans="1:14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</row>
    <row r="891" spans="1:14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</row>
    <row r="892" spans="1:14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</row>
    <row r="893" spans="1:14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</row>
    <row r="894" spans="1:1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</row>
    <row r="895" spans="1:14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</row>
    <row r="896" spans="1:14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</row>
    <row r="897" spans="1:14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</row>
    <row r="898" spans="1:14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</row>
    <row r="899" spans="1:14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</row>
    <row r="900" spans="1:14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</row>
    <row r="901" spans="1:14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</row>
    <row r="902" spans="1:14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</row>
    <row r="903" spans="1:14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</row>
    <row r="904" spans="1:1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</row>
    <row r="905" spans="1:14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</row>
    <row r="906" spans="1:14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</row>
    <row r="907" spans="1:14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</row>
    <row r="908" spans="1:14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</row>
    <row r="909" spans="1:14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</row>
    <row r="910" spans="1:14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</row>
    <row r="911" spans="1:14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</row>
    <row r="912" spans="1:14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</row>
    <row r="913" spans="1:14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</row>
    <row r="914" spans="1: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</row>
    <row r="915" spans="1:14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</row>
    <row r="916" spans="1:14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</row>
    <row r="917" spans="1:14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</row>
    <row r="918" spans="1:14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</row>
    <row r="919" spans="1:14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</row>
    <row r="920" spans="1:14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</row>
    <row r="921" spans="1:14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</row>
    <row r="922" spans="1:14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</row>
    <row r="923" spans="1:14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</row>
    <row r="924" spans="1:1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</row>
    <row r="925" spans="1:14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</row>
    <row r="926" spans="1:14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</row>
    <row r="927" spans="1:14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</row>
    <row r="928" spans="1:14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</row>
    <row r="929" spans="1:14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</row>
    <row r="930" spans="1:14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</row>
    <row r="931" spans="1:14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</row>
    <row r="932" spans="1:14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</row>
    <row r="933" spans="1:14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</row>
    <row r="934" spans="1:1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</row>
    <row r="935" spans="1:14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</row>
    <row r="936" spans="1:14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</row>
    <row r="937" spans="1:14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</row>
    <row r="938" spans="1:14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</row>
    <row r="939" spans="1:14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</row>
    <row r="940" spans="1:14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</row>
    <row r="941" spans="1:14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</row>
    <row r="942" spans="1:14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</row>
    <row r="943" spans="1:14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</row>
    <row r="944" spans="1:1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</row>
    <row r="945" spans="1:14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</row>
    <row r="946" spans="1:14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</row>
    <row r="947" spans="1:14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</row>
    <row r="948" spans="1:14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</row>
    <row r="949" spans="1:14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</row>
    <row r="950" spans="1:14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</row>
    <row r="951" spans="1:14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</row>
    <row r="952" spans="1:14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</row>
    <row r="953" spans="1:14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</row>
    <row r="954" spans="1:1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</row>
    <row r="955" spans="1:14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</row>
    <row r="956" spans="1:14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</row>
    <row r="957" spans="1:14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</row>
    <row r="958" spans="1:14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</row>
    <row r="959" spans="1:14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</row>
    <row r="960" spans="1:14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</row>
    <row r="961" spans="1:14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</row>
    <row r="962" spans="1:14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</row>
    <row r="963" spans="1:14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</row>
    <row r="964" spans="1:1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</row>
    <row r="965" spans="1:14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</row>
    <row r="966" spans="1:14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</row>
    <row r="967" spans="1:14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</row>
    <row r="968" spans="1:14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</row>
    <row r="969" spans="1:14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</row>
    <row r="970" spans="1:14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</row>
    <row r="971" spans="1:14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</row>
    <row r="972" spans="1:14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</row>
    <row r="973" spans="1:14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</row>
    <row r="974" spans="1:1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</row>
    <row r="975" spans="1:14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</row>
    <row r="976" spans="1:14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</row>
    <row r="977" spans="1:14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</row>
    <row r="978" spans="1:14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</row>
    <row r="979" spans="1:14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</row>
    <row r="980" spans="1:14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</row>
    <row r="981" spans="1:14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</row>
    <row r="982" spans="1:14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</row>
    <row r="983" spans="1:14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</row>
    <row r="984" spans="1:1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</row>
    <row r="985" spans="1:14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</row>
    <row r="986" spans="1:14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</row>
    <row r="987" spans="1:14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</row>
    <row r="988" spans="1:14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</row>
    <row r="989" spans="1:14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</row>
    <row r="990" spans="1:14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</row>
    <row r="991" spans="1:14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</row>
    <row r="992" spans="1:14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</row>
    <row r="993" spans="1:14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</row>
    <row r="994" spans="1:1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</row>
    <row r="995" spans="1:14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</row>
    <row r="996" spans="1:14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</row>
    <row r="997" spans="1:14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</row>
    <row r="998" spans="1:14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</row>
    <row r="999" spans="1:14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</row>
    <row r="1000" spans="1:14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</row>
  </sheetData>
  <phoneticPr fontId="6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6"/>
  <sheetViews>
    <sheetView tabSelected="1" workbookViewId="0">
      <selection activeCell="Q1" sqref="F1:Q1048576"/>
    </sheetView>
  </sheetViews>
  <sheetFormatPr defaultColWidth="12.5703125" defaultRowHeight="15" customHeight="1"/>
  <cols>
    <col min="2" max="2" width="13.7109375" customWidth="1"/>
    <col min="18" max="18" width="14.42578125" customWidth="1"/>
    <col min="19" max="19" width="33" customWidth="1"/>
  </cols>
  <sheetData>
    <row r="1" spans="1:25" ht="16.5">
      <c r="A1" s="4" t="s">
        <v>0</v>
      </c>
      <c r="B1" s="4" t="s">
        <v>154</v>
      </c>
      <c r="C1" s="4" t="s">
        <v>155</v>
      </c>
      <c r="D1" s="4" t="s">
        <v>1</v>
      </c>
      <c r="E1" s="4" t="s">
        <v>7</v>
      </c>
      <c r="F1" s="4" t="s">
        <v>248</v>
      </c>
      <c r="G1" s="4" t="s">
        <v>246</v>
      </c>
      <c r="H1" s="4" t="s">
        <v>247</v>
      </c>
      <c r="I1" s="4" t="s">
        <v>156</v>
      </c>
      <c r="J1" s="4" t="s">
        <v>2</v>
      </c>
      <c r="K1" s="4" t="s">
        <v>3</v>
      </c>
      <c r="L1" s="4" t="s">
        <v>4</v>
      </c>
      <c r="M1" s="4" t="s">
        <v>5</v>
      </c>
      <c r="N1" s="4" t="s">
        <v>6</v>
      </c>
      <c r="O1" s="4" t="s">
        <v>157</v>
      </c>
      <c r="P1" s="4" t="s">
        <v>158</v>
      </c>
      <c r="Q1" s="4" t="s">
        <v>159</v>
      </c>
      <c r="R1" s="4" t="s">
        <v>160</v>
      </c>
      <c r="S1" s="4" t="s">
        <v>161</v>
      </c>
      <c r="T1" s="4" t="s">
        <v>162</v>
      </c>
      <c r="U1" s="4" t="s">
        <v>163</v>
      </c>
      <c r="V1" s="4" t="s">
        <v>164</v>
      </c>
      <c r="W1" s="4" t="s">
        <v>9</v>
      </c>
      <c r="X1" s="4" t="s">
        <v>165</v>
      </c>
      <c r="Y1" s="1"/>
    </row>
    <row r="2" spans="1:25" ht="16.5">
      <c r="A2" s="5" t="s">
        <v>10</v>
      </c>
      <c r="B2" s="6" t="s">
        <v>166</v>
      </c>
      <c r="C2" s="5">
        <v>5580002</v>
      </c>
      <c r="D2" s="6" t="s">
        <v>11</v>
      </c>
      <c r="E2" s="6" t="s">
        <v>17</v>
      </c>
      <c r="F2" s="19" t="s">
        <v>249</v>
      </c>
      <c r="G2">
        <v>256.32100000000003</v>
      </c>
      <c r="H2">
        <v>258.75699900000001</v>
      </c>
      <c r="I2" s="6" t="s">
        <v>167</v>
      </c>
      <c r="J2" s="6" t="s">
        <v>12</v>
      </c>
      <c r="K2" s="6" t="s">
        <v>13</v>
      </c>
      <c r="L2" s="6" t="s">
        <v>14</v>
      </c>
      <c r="M2" s="6" t="s">
        <v>15</v>
      </c>
      <c r="N2" s="6" t="s">
        <v>16</v>
      </c>
      <c r="O2" s="6" t="s">
        <v>168</v>
      </c>
      <c r="P2" s="6" t="s">
        <v>169</v>
      </c>
      <c r="Q2" s="6" t="s">
        <v>170</v>
      </c>
      <c r="R2" s="6" t="s">
        <v>171</v>
      </c>
      <c r="S2" s="6" t="s">
        <v>172</v>
      </c>
      <c r="T2" s="5" t="s">
        <v>173</v>
      </c>
      <c r="U2" s="7">
        <v>2</v>
      </c>
      <c r="V2" s="6"/>
      <c r="W2" s="6"/>
      <c r="X2" s="8"/>
    </row>
    <row r="3" spans="1:25" ht="16.5">
      <c r="A3" s="5" t="s">
        <v>22</v>
      </c>
      <c r="B3" s="6" t="s">
        <v>174</v>
      </c>
      <c r="C3" s="5">
        <v>5580002</v>
      </c>
      <c r="D3" s="6" t="s">
        <v>11</v>
      </c>
      <c r="E3" s="6" t="s">
        <v>24</v>
      </c>
      <c r="F3" s="19" t="s">
        <v>249</v>
      </c>
      <c r="G3">
        <v>232.2615347</v>
      </c>
      <c r="H3">
        <v>312.65871420000002</v>
      </c>
      <c r="I3" s="6" t="s">
        <v>167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23</v>
      </c>
      <c r="O3" s="6" t="s">
        <v>168</v>
      </c>
      <c r="P3" s="6" t="s">
        <v>169</v>
      </c>
      <c r="Q3" s="6" t="s">
        <v>170</v>
      </c>
      <c r="R3" s="6" t="s">
        <v>171</v>
      </c>
      <c r="S3" s="6" t="s">
        <v>172</v>
      </c>
      <c r="T3" s="5" t="s">
        <v>173</v>
      </c>
      <c r="U3" s="7">
        <v>1</v>
      </c>
      <c r="V3" s="6"/>
      <c r="W3" s="6"/>
      <c r="X3" s="5" t="s">
        <v>175</v>
      </c>
    </row>
    <row r="4" spans="1:25" ht="16.5">
      <c r="A4" s="5" t="s">
        <v>41</v>
      </c>
      <c r="B4" s="6" t="s">
        <v>176</v>
      </c>
      <c r="C4" s="5">
        <v>5580002</v>
      </c>
      <c r="D4" s="6" t="s">
        <v>11</v>
      </c>
      <c r="E4" s="6" t="s">
        <v>42</v>
      </c>
      <c r="F4" s="19" t="s">
        <v>249</v>
      </c>
      <c r="G4">
        <v>253.90088610000001</v>
      </c>
      <c r="H4">
        <v>312.65871420000002</v>
      </c>
      <c r="I4" s="6" t="s">
        <v>167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23</v>
      </c>
      <c r="O4" s="6" t="s">
        <v>168</v>
      </c>
      <c r="P4" s="6" t="s">
        <v>169</v>
      </c>
      <c r="Q4" s="6" t="s">
        <v>170</v>
      </c>
      <c r="R4" s="6" t="s">
        <v>171</v>
      </c>
      <c r="S4" s="6" t="s">
        <v>172</v>
      </c>
      <c r="T4" s="5" t="s">
        <v>173</v>
      </c>
      <c r="U4" s="7">
        <v>1</v>
      </c>
      <c r="V4" s="6"/>
      <c r="W4" s="6"/>
      <c r="X4" s="5" t="s">
        <v>175</v>
      </c>
    </row>
    <row r="5" spans="1:25" ht="16.5">
      <c r="A5" s="5" t="s">
        <v>41</v>
      </c>
      <c r="B5" s="6" t="s">
        <v>177</v>
      </c>
      <c r="C5" s="5">
        <v>5580001</v>
      </c>
      <c r="D5" s="6" t="s">
        <v>11</v>
      </c>
      <c r="E5" s="6" t="s">
        <v>42</v>
      </c>
      <c r="F5" s="19" t="s">
        <v>249</v>
      </c>
      <c r="G5">
        <v>253.90088610000001</v>
      </c>
      <c r="H5">
        <v>312.65871420000002</v>
      </c>
      <c r="I5" s="6" t="s">
        <v>178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23</v>
      </c>
      <c r="O5" s="6" t="s">
        <v>179</v>
      </c>
      <c r="P5" s="6" t="s">
        <v>180</v>
      </c>
      <c r="Q5" s="6" t="s">
        <v>181</v>
      </c>
      <c r="R5" s="6" t="s">
        <v>182</v>
      </c>
      <c r="S5" s="6" t="s">
        <v>183</v>
      </c>
      <c r="T5" s="5" t="s">
        <v>184</v>
      </c>
      <c r="U5" s="7">
        <v>1</v>
      </c>
      <c r="V5" s="6"/>
      <c r="W5" s="6"/>
      <c r="X5" s="5" t="s">
        <v>175</v>
      </c>
    </row>
    <row r="6" spans="1:25" ht="16.5">
      <c r="A6" s="5" t="s">
        <v>58</v>
      </c>
      <c r="B6" s="6" t="s">
        <v>185</v>
      </c>
      <c r="C6" s="5">
        <v>5580003</v>
      </c>
      <c r="D6" s="6" t="s">
        <v>11</v>
      </c>
      <c r="E6" s="6" t="s">
        <v>60</v>
      </c>
      <c r="F6" s="19" t="s">
        <v>249</v>
      </c>
      <c r="G6">
        <v>212.1305529</v>
      </c>
      <c r="H6">
        <v>267.01168560000002</v>
      </c>
      <c r="I6" s="6" t="s">
        <v>167</v>
      </c>
      <c r="J6" s="6" t="s">
        <v>12</v>
      </c>
      <c r="K6" s="6" t="s">
        <v>13</v>
      </c>
      <c r="L6" s="6" t="s">
        <v>14</v>
      </c>
      <c r="M6" s="6" t="s">
        <v>15</v>
      </c>
      <c r="N6" s="6" t="s">
        <v>59</v>
      </c>
      <c r="O6" s="6" t="s">
        <v>179</v>
      </c>
      <c r="P6" s="6" t="s">
        <v>186</v>
      </c>
      <c r="Q6" s="6"/>
      <c r="R6" s="6" t="s">
        <v>187</v>
      </c>
      <c r="S6" s="6" t="s">
        <v>188</v>
      </c>
      <c r="T6" s="5" t="s">
        <v>189</v>
      </c>
      <c r="U6" s="7">
        <v>6</v>
      </c>
      <c r="V6" s="6"/>
      <c r="W6" s="6"/>
      <c r="X6" s="5" t="s">
        <v>175</v>
      </c>
    </row>
    <row r="7" spans="1:25" ht="16.5">
      <c r="A7" s="5" t="s">
        <v>69</v>
      </c>
      <c r="B7" s="6" t="s">
        <v>190</v>
      </c>
      <c r="C7" s="5">
        <v>5580003</v>
      </c>
      <c r="D7" s="6" t="s">
        <v>11</v>
      </c>
      <c r="E7" s="6" t="s">
        <v>70</v>
      </c>
      <c r="F7" s="19" t="s">
        <v>249</v>
      </c>
      <c r="G7">
        <v>48.174458600000001</v>
      </c>
      <c r="H7">
        <v>365.8363645</v>
      </c>
      <c r="I7" s="6" t="s">
        <v>167</v>
      </c>
      <c r="J7" s="6" t="s">
        <v>12</v>
      </c>
      <c r="K7" s="6" t="s">
        <v>13</v>
      </c>
      <c r="L7" s="6" t="s">
        <v>14</v>
      </c>
      <c r="M7" s="6" t="s">
        <v>15</v>
      </c>
      <c r="N7" s="6" t="s">
        <v>59</v>
      </c>
      <c r="O7" s="6" t="s">
        <v>179</v>
      </c>
      <c r="P7" s="6" t="s">
        <v>186</v>
      </c>
      <c r="Q7" s="6"/>
      <c r="R7" s="6" t="s">
        <v>187</v>
      </c>
      <c r="S7" s="6" t="s">
        <v>188</v>
      </c>
      <c r="T7" s="5" t="s">
        <v>189</v>
      </c>
      <c r="U7" s="7">
        <v>1</v>
      </c>
      <c r="V7" s="6"/>
      <c r="W7" s="6"/>
      <c r="X7" s="5" t="s">
        <v>175</v>
      </c>
    </row>
    <row r="8" spans="1:25" ht="16.5">
      <c r="A8" s="5" t="s">
        <v>88</v>
      </c>
      <c r="B8" s="6" t="s">
        <v>191</v>
      </c>
      <c r="C8" s="5">
        <v>5580002</v>
      </c>
      <c r="D8" s="6" t="s">
        <v>11</v>
      </c>
      <c r="E8" s="6" t="s">
        <v>89</v>
      </c>
      <c r="F8" s="19" t="s">
        <v>249</v>
      </c>
      <c r="G8">
        <v>290.76116480000002</v>
      </c>
      <c r="H8">
        <v>196.07882889999999</v>
      </c>
      <c r="I8" s="6" t="s">
        <v>167</v>
      </c>
      <c r="J8" s="6" t="s">
        <v>12</v>
      </c>
      <c r="K8" s="6" t="s">
        <v>13</v>
      </c>
      <c r="L8" s="6" t="s">
        <v>14</v>
      </c>
      <c r="M8" s="6" t="s">
        <v>15</v>
      </c>
      <c r="N8" s="6" t="s">
        <v>16</v>
      </c>
      <c r="O8" s="6" t="s">
        <v>168</v>
      </c>
      <c r="P8" s="6" t="s">
        <v>169</v>
      </c>
      <c r="Q8" s="6" t="s">
        <v>170</v>
      </c>
      <c r="R8" s="6" t="s">
        <v>171</v>
      </c>
      <c r="S8" s="6" t="s">
        <v>172</v>
      </c>
      <c r="T8" s="5" t="s">
        <v>173</v>
      </c>
      <c r="U8" s="7">
        <v>1</v>
      </c>
      <c r="V8" s="6"/>
      <c r="W8" s="6"/>
      <c r="X8" s="5" t="s">
        <v>175</v>
      </c>
    </row>
    <row r="9" spans="1:25" ht="16.5">
      <c r="A9" s="5" t="s">
        <v>88</v>
      </c>
      <c r="B9" s="6" t="s">
        <v>192</v>
      </c>
      <c r="C9" s="5">
        <v>5580001</v>
      </c>
      <c r="D9" s="6" t="s">
        <v>11</v>
      </c>
      <c r="E9" s="6" t="s">
        <v>89</v>
      </c>
      <c r="F9" s="19" t="s">
        <v>249</v>
      </c>
      <c r="G9">
        <v>290.76116480000002</v>
      </c>
      <c r="H9">
        <v>196.07882889999999</v>
      </c>
      <c r="I9" s="6" t="s">
        <v>178</v>
      </c>
      <c r="J9" s="6" t="s">
        <v>12</v>
      </c>
      <c r="K9" s="6" t="s">
        <v>13</v>
      </c>
      <c r="L9" s="6" t="s">
        <v>14</v>
      </c>
      <c r="M9" s="6" t="s">
        <v>15</v>
      </c>
      <c r="N9" s="6" t="s">
        <v>16</v>
      </c>
      <c r="O9" s="6" t="s">
        <v>179</v>
      </c>
      <c r="P9" s="6" t="s">
        <v>180</v>
      </c>
      <c r="Q9" s="6" t="s">
        <v>181</v>
      </c>
      <c r="R9" s="6" t="s">
        <v>182</v>
      </c>
      <c r="S9" s="6" t="s">
        <v>183</v>
      </c>
      <c r="T9" s="5" t="s">
        <v>184</v>
      </c>
      <c r="U9" s="7">
        <v>1</v>
      </c>
      <c r="V9" s="6"/>
      <c r="W9" s="6"/>
      <c r="X9" s="5" t="s">
        <v>175</v>
      </c>
    </row>
    <row r="10" spans="1:25" ht="16.5">
      <c r="A10" s="5" t="s">
        <v>88</v>
      </c>
      <c r="B10" s="6" t="s">
        <v>193</v>
      </c>
      <c r="C10" s="5">
        <v>5580003</v>
      </c>
      <c r="D10" s="6" t="s">
        <v>11</v>
      </c>
      <c r="E10" s="6" t="s">
        <v>89</v>
      </c>
      <c r="F10" s="19" t="s">
        <v>249</v>
      </c>
      <c r="G10">
        <v>290.76116480000002</v>
      </c>
      <c r="H10">
        <v>196.07882889999999</v>
      </c>
      <c r="I10" s="6" t="s">
        <v>194</v>
      </c>
      <c r="J10" s="6" t="s">
        <v>12</v>
      </c>
      <c r="K10" s="6" t="s">
        <v>13</v>
      </c>
      <c r="L10" s="6" t="s">
        <v>14</v>
      </c>
      <c r="M10" s="6" t="s">
        <v>15</v>
      </c>
      <c r="N10" s="6" t="s">
        <v>16</v>
      </c>
      <c r="O10" s="6" t="s">
        <v>179</v>
      </c>
      <c r="P10" s="6" t="s">
        <v>186</v>
      </c>
      <c r="Q10" s="6"/>
      <c r="R10" s="6" t="s">
        <v>187</v>
      </c>
      <c r="S10" s="6" t="s">
        <v>188</v>
      </c>
      <c r="T10" s="5" t="s">
        <v>189</v>
      </c>
      <c r="U10" s="7">
        <v>2</v>
      </c>
      <c r="V10" s="6"/>
      <c r="W10" s="6"/>
      <c r="X10" s="5" t="s">
        <v>175</v>
      </c>
    </row>
    <row r="11" spans="1:25" ht="16.5">
      <c r="A11" s="5" t="s">
        <v>90</v>
      </c>
      <c r="B11" s="6" t="s">
        <v>195</v>
      </c>
      <c r="C11" s="5">
        <v>5580003</v>
      </c>
      <c r="D11" s="6" t="s">
        <v>11</v>
      </c>
      <c r="E11" s="6" t="s">
        <v>91</v>
      </c>
      <c r="F11" s="19" t="s">
        <v>249</v>
      </c>
      <c r="G11">
        <v>290.76116480000002</v>
      </c>
      <c r="H11">
        <v>174.10584349999999</v>
      </c>
      <c r="I11" s="6" t="s">
        <v>167</v>
      </c>
      <c r="J11" s="6" t="s">
        <v>12</v>
      </c>
      <c r="K11" s="6" t="s">
        <v>13</v>
      </c>
      <c r="L11" s="6" t="s">
        <v>14</v>
      </c>
      <c r="M11" s="6" t="s">
        <v>15</v>
      </c>
      <c r="N11" s="6" t="s">
        <v>16</v>
      </c>
      <c r="O11" s="6" t="s">
        <v>179</v>
      </c>
      <c r="P11" s="6" t="s">
        <v>186</v>
      </c>
      <c r="Q11" s="6"/>
      <c r="R11" s="6" t="s">
        <v>187</v>
      </c>
      <c r="S11" s="6" t="s">
        <v>188</v>
      </c>
      <c r="T11" s="5" t="s">
        <v>189</v>
      </c>
      <c r="U11" s="7">
        <v>2</v>
      </c>
      <c r="V11" s="6"/>
      <c r="W11" s="6"/>
      <c r="X11" s="5" t="s">
        <v>175</v>
      </c>
    </row>
    <row r="12" spans="1:25" ht="16.5">
      <c r="A12" s="5" t="s">
        <v>90</v>
      </c>
      <c r="B12" s="6" t="s">
        <v>196</v>
      </c>
      <c r="C12" s="5">
        <v>120000044955</v>
      </c>
      <c r="D12" s="6" t="s">
        <v>11</v>
      </c>
      <c r="E12" s="6" t="s">
        <v>91</v>
      </c>
      <c r="F12" s="19" t="s">
        <v>249</v>
      </c>
      <c r="G12">
        <v>290.76116480000002</v>
      </c>
      <c r="H12">
        <v>174.10584349999999</v>
      </c>
      <c r="I12" s="6" t="s">
        <v>178</v>
      </c>
      <c r="J12" s="6" t="s">
        <v>12</v>
      </c>
      <c r="K12" s="6" t="s">
        <v>13</v>
      </c>
      <c r="L12" s="6" t="s">
        <v>14</v>
      </c>
      <c r="M12" s="6" t="s">
        <v>15</v>
      </c>
      <c r="N12" s="6" t="s">
        <v>16</v>
      </c>
      <c r="O12" s="6" t="s">
        <v>168</v>
      </c>
      <c r="P12" s="6" t="s">
        <v>169</v>
      </c>
      <c r="Q12" s="6" t="s">
        <v>197</v>
      </c>
      <c r="R12" s="6" t="s">
        <v>198</v>
      </c>
      <c r="S12" s="6" t="s">
        <v>199</v>
      </c>
      <c r="T12" s="5" t="s">
        <v>173</v>
      </c>
      <c r="U12" s="7">
        <v>1</v>
      </c>
      <c r="V12" s="6"/>
      <c r="W12" s="6"/>
      <c r="X12" s="5" t="s">
        <v>175</v>
      </c>
    </row>
    <row r="13" spans="1:25" ht="16.5">
      <c r="A13" s="5" t="s">
        <v>90</v>
      </c>
      <c r="B13" s="6" t="s">
        <v>200</v>
      </c>
      <c r="C13" s="5">
        <v>5580002</v>
      </c>
      <c r="D13" s="6" t="s">
        <v>11</v>
      </c>
      <c r="E13" s="6" t="s">
        <v>91</v>
      </c>
      <c r="F13" s="19" t="s">
        <v>249</v>
      </c>
      <c r="G13">
        <v>290.76116480000002</v>
      </c>
      <c r="H13">
        <v>174.10584349999999</v>
      </c>
      <c r="I13" s="6" t="s">
        <v>194</v>
      </c>
      <c r="J13" s="6" t="s">
        <v>12</v>
      </c>
      <c r="K13" s="6" t="s">
        <v>13</v>
      </c>
      <c r="L13" s="6" t="s">
        <v>14</v>
      </c>
      <c r="M13" s="6" t="s">
        <v>15</v>
      </c>
      <c r="N13" s="6" t="s">
        <v>16</v>
      </c>
      <c r="O13" s="6" t="s">
        <v>168</v>
      </c>
      <c r="P13" s="6" t="s">
        <v>169</v>
      </c>
      <c r="Q13" s="6" t="s">
        <v>170</v>
      </c>
      <c r="R13" s="6" t="s">
        <v>171</v>
      </c>
      <c r="S13" s="6" t="s">
        <v>172</v>
      </c>
      <c r="T13" s="5" t="s">
        <v>173</v>
      </c>
      <c r="U13" s="7">
        <v>1</v>
      </c>
      <c r="V13" s="6"/>
      <c r="W13" s="6"/>
      <c r="X13" s="5" t="s">
        <v>175</v>
      </c>
    </row>
    <row r="14" spans="1:25" ht="16.5">
      <c r="A14" s="5" t="s">
        <v>92</v>
      </c>
      <c r="B14" s="6" t="s">
        <v>201</v>
      </c>
      <c r="C14" s="5">
        <v>5580003</v>
      </c>
      <c r="D14" s="6" t="s">
        <v>11</v>
      </c>
      <c r="E14" s="6" t="s">
        <v>94</v>
      </c>
      <c r="F14" s="19" t="s">
        <v>249</v>
      </c>
      <c r="G14">
        <v>318.63544180000002</v>
      </c>
      <c r="H14">
        <v>192.74395229999999</v>
      </c>
      <c r="I14" s="6" t="s">
        <v>167</v>
      </c>
      <c r="J14" s="6" t="s">
        <v>12</v>
      </c>
      <c r="K14" s="6" t="s">
        <v>13</v>
      </c>
      <c r="L14" s="6" t="s">
        <v>14</v>
      </c>
      <c r="M14" s="6" t="s">
        <v>15</v>
      </c>
      <c r="N14" s="6" t="s">
        <v>93</v>
      </c>
      <c r="O14" s="6" t="s">
        <v>179</v>
      </c>
      <c r="P14" s="6" t="s">
        <v>186</v>
      </c>
      <c r="Q14" s="6"/>
      <c r="R14" s="6" t="s">
        <v>187</v>
      </c>
      <c r="S14" s="6" t="s">
        <v>188</v>
      </c>
      <c r="T14" s="5" t="s">
        <v>189</v>
      </c>
      <c r="U14" s="7">
        <v>2</v>
      </c>
      <c r="V14" s="6"/>
      <c r="W14" s="6"/>
      <c r="X14" s="5" t="s">
        <v>175</v>
      </c>
    </row>
    <row r="15" spans="1:25" ht="16.5">
      <c r="A15" s="5" t="s">
        <v>99</v>
      </c>
      <c r="B15" s="6" t="s">
        <v>202</v>
      </c>
      <c r="C15" s="5">
        <v>5580003</v>
      </c>
      <c r="D15" s="6" t="s">
        <v>11</v>
      </c>
      <c r="E15" s="6" t="s">
        <v>100</v>
      </c>
      <c r="F15" s="19" t="s">
        <v>249</v>
      </c>
      <c r="G15">
        <v>446.55459630000001</v>
      </c>
      <c r="H15">
        <v>262.09187559999998</v>
      </c>
      <c r="I15" s="6" t="s">
        <v>167</v>
      </c>
      <c r="J15" s="6" t="s">
        <v>12</v>
      </c>
      <c r="K15" s="6" t="s">
        <v>13</v>
      </c>
      <c r="L15" s="6" t="s">
        <v>14</v>
      </c>
      <c r="M15" s="6" t="s">
        <v>15</v>
      </c>
      <c r="N15" s="6" t="s">
        <v>93</v>
      </c>
      <c r="O15" s="6" t="s">
        <v>179</v>
      </c>
      <c r="P15" s="6" t="s">
        <v>186</v>
      </c>
      <c r="Q15" s="6"/>
      <c r="R15" s="6" t="s">
        <v>187</v>
      </c>
      <c r="S15" s="6" t="s">
        <v>188</v>
      </c>
      <c r="T15" s="5" t="s">
        <v>189</v>
      </c>
      <c r="U15" s="7">
        <v>1</v>
      </c>
      <c r="V15" s="6"/>
      <c r="W15" s="6"/>
      <c r="X15" s="5" t="s">
        <v>175</v>
      </c>
    </row>
    <row r="16" spans="1:25" ht="16.5">
      <c r="A16" s="5" t="s">
        <v>118</v>
      </c>
      <c r="B16" s="6" t="s">
        <v>203</v>
      </c>
      <c r="C16" s="5">
        <v>5580001</v>
      </c>
      <c r="D16" s="6" t="s">
        <v>11</v>
      </c>
      <c r="E16" s="6" t="s">
        <v>120</v>
      </c>
      <c r="F16" s="19" t="s">
        <v>249</v>
      </c>
      <c r="G16">
        <v>227.44100309999999</v>
      </c>
      <c r="H16">
        <v>182.75207</v>
      </c>
      <c r="I16" s="6" t="s">
        <v>167</v>
      </c>
      <c r="J16" s="6" t="s">
        <v>12</v>
      </c>
      <c r="K16" s="6" t="s">
        <v>13</v>
      </c>
      <c r="L16" s="6" t="s">
        <v>14</v>
      </c>
      <c r="M16" s="6" t="s">
        <v>15</v>
      </c>
      <c r="N16" s="6" t="s">
        <v>119</v>
      </c>
      <c r="O16" s="6" t="s">
        <v>179</v>
      </c>
      <c r="P16" s="6" t="s">
        <v>180</v>
      </c>
      <c r="Q16" s="6" t="s">
        <v>181</v>
      </c>
      <c r="R16" s="6" t="s">
        <v>182</v>
      </c>
      <c r="S16" s="6" t="s">
        <v>183</v>
      </c>
      <c r="T16" s="5" t="s">
        <v>184</v>
      </c>
      <c r="U16" s="7">
        <v>1</v>
      </c>
      <c r="V16" s="6"/>
      <c r="W16" s="6"/>
      <c r="X16" s="5" t="s">
        <v>175</v>
      </c>
    </row>
    <row r="17" spans="1:24" ht="16.5">
      <c r="A17" s="5" t="s">
        <v>118</v>
      </c>
      <c r="B17" s="6" t="s">
        <v>204</v>
      </c>
      <c r="C17" s="5">
        <v>5580002</v>
      </c>
      <c r="D17" s="6" t="s">
        <v>11</v>
      </c>
      <c r="E17" s="6" t="s">
        <v>120</v>
      </c>
      <c r="F17" s="19" t="s">
        <v>249</v>
      </c>
      <c r="G17">
        <v>227.44100309999999</v>
      </c>
      <c r="H17">
        <v>182.75207</v>
      </c>
      <c r="I17" s="6" t="s">
        <v>178</v>
      </c>
      <c r="J17" s="6" t="s">
        <v>12</v>
      </c>
      <c r="K17" s="6" t="s">
        <v>13</v>
      </c>
      <c r="L17" s="6" t="s">
        <v>14</v>
      </c>
      <c r="M17" s="6" t="s">
        <v>15</v>
      </c>
      <c r="N17" s="6" t="s">
        <v>119</v>
      </c>
      <c r="O17" s="6" t="s">
        <v>168</v>
      </c>
      <c r="P17" s="6" t="s">
        <v>169</v>
      </c>
      <c r="Q17" s="6" t="s">
        <v>170</v>
      </c>
      <c r="R17" s="6" t="s">
        <v>171</v>
      </c>
      <c r="S17" s="6" t="s">
        <v>172</v>
      </c>
      <c r="T17" s="5" t="s">
        <v>173</v>
      </c>
      <c r="U17" s="7">
        <v>1</v>
      </c>
      <c r="V17" s="6"/>
      <c r="W17" s="6"/>
      <c r="X17" s="5" t="s">
        <v>175</v>
      </c>
    </row>
    <row r="18" spans="1:24" ht="16.5">
      <c r="A18" s="5" t="s">
        <v>121</v>
      </c>
      <c r="B18" s="6" t="s">
        <v>205</v>
      </c>
      <c r="C18" s="5">
        <v>120000044467</v>
      </c>
      <c r="D18" s="6" t="s">
        <v>11</v>
      </c>
      <c r="E18" s="6" t="s">
        <v>122</v>
      </c>
      <c r="F18" s="19" t="s">
        <v>249</v>
      </c>
      <c r="G18">
        <v>227.44100309999999</v>
      </c>
      <c r="H18">
        <v>195.2688459</v>
      </c>
      <c r="I18" s="6" t="s">
        <v>167</v>
      </c>
      <c r="J18" s="6" t="s">
        <v>12</v>
      </c>
      <c r="K18" s="6" t="s">
        <v>13</v>
      </c>
      <c r="L18" s="6" t="s">
        <v>14</v>
      </c>
      <c r="M18" s="6" t="s">
        <v>15</v>
      </c>
      <c r="N18" s="6" t="s">
        <v>119</v>
      </c>
      <c r="O18" s="6" t="s">
        <v>168</v>
      </c>
      <c r="P18" s="6" t="s">
        <v>169</v>
      </c>
      <c r="Q18" s="6" t="s">
        <v>206</v>
      </c>
      <c r="R18" s="6" t="s">
        <v>207</v>
      </c>
      <c r="S18" s="6" t="s">
        <v>208</v>
      </c>
      <c r="T18" s="5" t="s">
        <v>173</v>
      </c>
      <c r="U18" s="7">
        <v>1</v>
      </c>
      <c r="V18" s="6"/>
      <c r="W18" s="6"/>
      <c r="X18" s="5" t="s">
        <v>175</v>
      </c>
    </row>
    <row r="19" spans="1:24" ht="16.5">
      <c r="A19" s="5" t="s">
        <v>121</v>
      </c>
      <c r="B19" s="6" t="s">
        <v>209</v>
      </c>
      <c r="C19" s="5">
        <v>5580002</v>
      </c>
      <c r="D19" s="6" t="s">
        <v>11</v>
      </c>
      <c r="E19" s="6" t="s">
        <v>122</v>
      </c>
      <c r="F19" s="19" t="s">
        <v>249</v>
      </c>
      <c r="G19">
        <v>227.44100309999999</v>
      </c>
      <c r="H19">
        <v>195.2688459</v>
      </c>
      <c r="I19" s="6" t="s">
        <v>178</v>
      </c>
      <c r="J19" s="6" t="s">
        <v>12</v>
      </c>
      <c r="K19" s="6" t="s">
        <v>13</v>
      </c>
      <c r="L19" s="6" t="s">
        <v>14</v>
      </c>
      <c r="M19" s="6" t="s">
        <v>15</v>
      </c>
      <c r="N19" s="6" t="s">
        <v>119</v>
      </c>
      <c r="O19" s="6" t="s">
        <v>168</v>
      </c>
      <c r="P19" s="6" t="s">
        <v>169</v>
      </c>
      <c r="Q19" s="6" t="s">
        <v>170</v>
      </c>
      <c r="R19" s="6" t="s">
        <v>171</v>
      </c>
      <c r="S19" s="6" t="s">
        <v>172</v>
      </c>
      <c r="T19" s="5" t="s">
        <v>173</v>
      </c>
      <c r="U19" s="7">
        <v>1</v>
      </c>
      <c r="V19" s="6"/>
      <c r="W19" s="6"/>
      <c r="X19" s="5" t="s">
        <v>175</v>
      </c>
    </row>
    <row r="20" spans="1:24" ht="16.5">
      <c r="A20" s="5" t="s">
        <v>125</v>
      </c>
      <c r="B20" s="6" t="s">
        <v>210</v>
      </c>
      <c r="C20" s="5">
        <v>120000044467</v>
      </c>
      <c r="D20" s="6" t="s">
        <v>11</v>
      </c>
      <c r="E20" s="6" t="s">
        <v>126</v>
      </c>
      <c r="F20" s="19" t="s">
        <v>249</v>
      </c>
      <c r="G20">
        <v>249.00190649999999</v>
      </c>
      <c r="H20">
        <v>195.2688459</v>
      </c>
      <c r="I20" s="6" t="s">
        <v>167</v>
      </c>
      <c r="J20" s="6" t="s">
        <v>12</v>
      </c>
      <c r="K20" s="6" t="s">
        <v>13</v>
      </c>
      <c r="L20" s="6" t="s">
        <v>14</v>
      </c>
      <c r="M20" s="6" t="s">
        <v>15</v>
      </c>
      <c r="N20" s="6" t="s">
        <v>119</v>
      </c>
      <c r="O20" s="6" t="s">
        <v>168</v>
      </c>
      <c r="P20" s="6" t="s">
        <v>169</v>
      </c>
      <c r="Q20" s="6" t="s">
        <v>206</v>
      </c>
      <c r="R20" s="6" t="s">
        <v>207</v>
      </c>
      <c r="S20" s="6" t="s">
        <v>208</v>
      </c>
      <c r="T20" s="5" t="s">
        <v>173</v>
      </c>
      <c r="U20" s="7">
        <v>1</v>
      </c>
      <c r="V20" s="6"/>
      <c r="W20" s="6"/>
      <c r="X20" s="5" t="s">
        <v>175</v>
      </c>
    </row>
    <row r="21" spans="1:24" ht="16.5">
      <c r="A21" s="5" t="s">
        <v>127</v>
      </c>
      <c r="B21" s="6" t="s">
        <v>211</v>
      </c>
      <c r="C21" s="5">
        <v>5580002</v>
      </c>
      <c r="D21" s="6" t="s">
        <v>11</v>
      </c>
      <c r="E21" s="6" t="s">
        <v>128</v>
      </c>
      <c r="F21" s="19" t="s">
        <v>249</v>
      </c>
      <c r="G21">
        <v>255.6716596</v>
      </c>
      <c r="H21">
        <v>215.96300919999999</v>
      </c>
      <c r="I21" s="6" t="s">
        <v>167</v>
      </c>
      <c r="J21" s="6" t="s">
        <v>12</v>
      </c>
      <c r="K21" s="6" t="s">
        <v>13</v>
      </c>
      <c r="L21" s="6" t="s">
        <v>14</v>
      </c>
      <c r="M21" s="6" t="s">
        <v>15</v>
      </c>
      <c r="N21" s="6" t="s">
        <v>119</v>
      </c>
      <c r="O21" s="6" t="s">
        <v>168</v>
      </c>
      <c r="P21" s="6" t="s">
        <v>169</v>
      </c>
      <c r="Q21" s="6" t="s">
        <v>170</v>
      </c>
      <c r="R21" s="6" t="s">
        <v>171</v>
      </c>
      <c r="S21" s="6" t="s">
        <v>172</v>
      </c>
      <c r="T21" s="5" t="s">
        <v>173</v>
      </c>
      <c r="U21" s="7">
        <v>1</v>
      </c>
      <c r="V21" s="6"/>
      <c r="W21" s="6"/>
      <c r="X21" s="5" t="s">
        <v>175</v>
      </c>
    </row>
    <row r="22" spans="1:24" ht="16.5">
      <c r="A22" s="5" t="s">
        <v>127</v>
      </c>
      <c r="B22" s="6" t="s">
        <v>212</v>
      </c>
      <c r="C22" s="5">
        <v>120000022542</v>
      </c>
      <c r="D22" s="6" t="s">
        <v>11</v>
      </c>
      <c r="E22" s="6" t="s">
        <v>128</v>
      </c>
      <c r="F22" s="19" t="s">
        <v>249</v>
      </c>
      <c r="G22">
        <v>255.6716596</v>
      </c>
      <c r="H22">
        <v>215.96300919999999</v>
      </c>
      <c r="I22" s="6" t="s">
        <v>178</v>
      </c>
      <c r="J22" s="6" t="s">
        <v>12</v>
      </c>
      <c r="K22" s="6" t="s">
        <v>13</v>
      </c>
      <c r="L22" s="6" t="s">
        <v>14</v>
      </c>
      <c r="M22" s="6" t="s">
        <v>15</v>
      </c>
      <c r="N22" s="6" t="s">
        <v>119</v>
      </c>
      <c r="O22" s="6" t="s">
        <v>179</v>
      </c>
      <c r="P22" s="6" t="s">
        <v>180</v>
      </c>
      <c r="Q22" s="6" t="s">
        <v>213</v>
      </c>
      <c r="R22" s="6" t="s">
        <v>214</v>
      </c>
      <c r="S22" s="6" t="s">
        <v>215</v>
      </c>
      <c r="T22" s="5" t="s">
        <v>184</v>
      </c>
      <c r="U22" s="7">
        <v>1</v>
      </c>
      <c r="V22" s="6"/>
      <c r="W22" s="6"/>
      <c r="X22" s="5" t="s">
        <v>175</v>
      </c>
    </row>
    <row r="23" spans="1:24" ht="16.5">
      <c r="A23" s="5" t="s">
        <v>129</v>
      </c>
      <c r="B23" s="6" t="s">
        <v>216</v>
      </c>
      <c r="C23" s="5">
        <v>120000044467</v>
      </c>
      <c r="D23" s="6" t="s">
        <v>11</v>
      </c>
      <c r="E23" s="6" t="s">
        <v>130</v>
      </c>
      <c r="F23" s="19" t="s">
        <v>249</v>
      </c>
      <c r="G23">
        <v>255.6716596</v>
      </c>
      <c r="H23">
        <v>224.94093710000001</v>
      </c>
      <c r="I23" s="6" t="s">
        <v>167</v>
      </c>
      <c r="J23" s="6" t="s">
        <v>12</v>
      </c>
      <c r="K23" s="6" t="s">
        <v>13</v>
      </c>
      <c r="L23" s="6" t="s">
        <v>14</v>
      </c>
      <c r="M23" s="6" t="s">
        <v>15</v>
      </c>
      <c r="N23" s="6" t="s">
        <v>119</v>
      </c>
      <c r="O23" s="6" t="s">
        <v>168</v>
      </c>
      <c r="P23" s="6" t="s">
        <v>169</v>
      </c>
      <c r="Q23" s="6" t="s">
        <v>206</v>
      </c>
      <c r="R23" s="6" t="s">
        <v>207</v>
      </c>
      <c r="S23" s="6" t="s">
        <v>208</v>
      </c>
      <c r="T23" s="5" t="s">
        <v>173</v>
      </c>
      <c r="U23" s="7">
        <v>1</v>
      </c>
      <c r="V23" s="6"/>
      <c r="W23" s="6"/>
      <c r="X23" s="5" t="s">
        <v>175</v>
      </c>
    </row>
    <row r="24" spans="1:24" ht="16.5">
      <c r="A24" s="5" t="s">
        <v>129</v>
      </c>
      <c r="B24" s="6" t="s">
        <v>217</v>
      </c>
      <c r="C24" s="5">
        <v>5580001</v>
      </c>
      <c r="D24" s="6" t="s">
        <v>11</v>
      </c>
      <c r="E24" s="6" t="s">
        <v>130</v>
      </c>
      <c r="F24" s="19" t="s">
        <v>249</v>
      </c>
      <c r="G24">
        <v>255.6716596</v>
      </c>
      <c r="H24">
        <v>224.94093710000001</v>
      </c>
      <c r="I24" s="6" t="s">
        <v>178</v>
      </c>
      <c r="J24" s="6" t="s">
        <v>12</v>
      </c>
      <c r="K24" s="6" t="s">
        <v>13</v>
      </c>
      <c r="L24" s="6" t="s">
        <v>14</v>
      </c>
      <c r="M24" s="6" t="s">
        <v>15</v>
      </c>
      <c r="N24" s="6" t="s">
        <v>119</v>
      </c>
      <c r="O24" s="6" t="s">
        <v>179</v>
      </c>
      <c r="P24" s="6" t="s">
        <v>180</v>
      </c>
      <c r="Q24" s="6" t="s">
        <v>181</v>
      </c>
      <c r="R24" s="6" t="s">
        <v>182</v>
      </c>
      <c r="S24" s="6" t="s">
        <v>183</v>
      </c>
      <c r="T24" s="5" t="s">
        <v>173</v>
      </c>
      <c r="U24" s="7">
        <v>1</v>
      </c>
      <c r="V24" s="6"/>
      <c r="W24" s="6"/>
      <c r="X24" s="5" t="s">
        <v>175</v>
      </c>
    </row>
    <row r="25" spans="1:24" ht="16.5">
      <c r="A25" s="5" t="s">
        <v>129</v>
      </c>
      <c r="B25" s="6" t="s">
        <v>218</v>
      </c>
      <c r="C25" s="5">
        <v>120000237106</v>
      </c>
      <c r="D25" s="6" t="s">
        <v>11</v>
      </c>
      <c r="E25" s="6" t="s">
        <v>130</v>
      </c>
      <c r="F25" s="19" t="s">
        <v>249</v>
      </c>
      <c r="G25">
        <v>255.6716596</v>
      </c>
      <c r="H25">
        <v>224.94093710000001</v>
      </c>
      <c r="I25" s="6" t="s">
        <v>194</v>
      </c>
      <c r="J25" s="6" t="s">
        <v>12</v>
      </c>
      <c r="K25" s="6" t="s">
        <v>13</v>
      </c>
      <c r="L25" s="6" t="s">
        <v>14</v>
      </c>
      <c r="M25" s="6" t="s">
        <v>15</v>
      </c>
      <c r="N25" s="6" t="s">
        <v>119</v>
      </c>
      <c r="O25" s="6" t="s">
        <v>179</v>
      </c>
      <c r="P25" s="6" t="s">
        <v>180</v>
      </c>
      <c r="Q25" s="6" t="s">
        <v>219</v>
      </c>
      <c r="R25" s="6" t="s">
        <v>220</v>
      </c>
      <c r="S25" s="6" t="s">
        <v>221</v>
      </c>
      <c r="T25" s="5" t="s">
        <v>184</v>
      </c>
      <c r="U25" s="7">
        <v>1</v>
      </c>
      <c r="V25" s="6"/>
      <c r="W25" s="6"/>
      <c r="X25" s="5" t="s">
        <v>175</v>
      </c>
    </row>
    <row r="26" spans="1:24" ht="16.5">
      <c r="A26" s="5" t="s">
        <v>133</v>
      </c>
      <c r="B26" s="6" t="s">
        <v>222</v>
      </c>
      <c r="C26" s="5">
        <v>120000237106</v>
      </c>
      <c r="D26" s="6" t="s">
        <v>11</v>
      </c>
      <c r="E26" s="6" t="s">
        <v>134</v>
      </c>
      <c r="F26" s="19" t="s">
        <v>249</v>
      </c>
      <c r="G26">
        <v>265.50251839999999</v>
      </c>
      <c r="H26">
        <v>270.34656219999999</v>
      </c>
      <c r="I26" s="6" t="s">
        <v>167</v>
      </c>
      <c r="J26" s="6" t="s">
        <v>12</v>
      </c>
      <c r="K26" s="6" t="s">
        <v>13</v>
      </c>
      <c r="L26" s="6" t="s">
        <v>14</v>
      </c>
      <c r="M26" s="6" t="s">
        <v>15</v>
      </c>
      <c r="N26" s="6" t="s">
        <v>119</v>
      </c>
      <c r="O26" s="6" t="s">
        <v>179</v>
      </c>
      <c r="P26" s="6" t="s">
        <v>180</v>
      </c>
      <c r="Q26" s="6" t="s">
        <v>219</v>
      </c>
      <c r="R26" s="6" t="s">
        <v>220</v>
      </c>
      <c r="S26" s="6" t="s">
        <v>221</v>
      </c>
      <c r="T26" s="5" t="s">
        <v>184</v>
      </c>
      <c r="U26" s="7">
        <v>1</v>
      </c>
      <c r="V26" s="6"/>
      <c r="W26" s="6"/>
      <c r="X26" s="5" t="s">
        <v>175</v>
      </c>
    </row>
    <row r="27" spans="1:24" ht="16.5">
      <c r="A27" s="5" t="s">
        <v>133</v>
      </c>
      <c r="B27" s="6" t="s">
        <v>223</v>
      </c>
      <c r="C27" s="5">
        <v>5580001</v>
      </c>
      <c r="D27" s="6" t="s">
        <v>11</v>
      </c>
      <c r="E27" s="6" t="s">
        <v>134</v>
      </c>
      <c r="F27" s="19" t="s">
        <v>249</v>
      </c>
      <c r="G27">
        <v>265.50251839999999</v>
      </c>
      <c r="H27">
        <v>270.34656219999999</v>
      </c>
      <c r="I27" s="6" t="s">
        <v>178</v>
      </c>
      <c r="J27" s="6" t="s">
        <v>12</v>
      </c>
      <c r="K27" s="6" t="s">
        <v>13</v>
      </c>
      <c r="L27" s="6" t="s">
        <v>14</v>
      </c>
      <c r="M27" s="6" t="s">
        <v>15</v>
      </c>
      <c r="N27" s="6" t="s">
        <v>119</v>
      </c>
      <c r="O27" s="6" t="s">
        <v>179</v>
      </c>
      <c r="P27" s="6" t="s">
        <v>180</v>
      </c>
      <c r="Q27" s="6" t="s">
        <v>181</v>
      </c>
      <c r="R27" s="6" t="s">
        <v>182</v>
      </c>
      <c r="S27" s="6" t="s">
        <v>183</v>
      </c>
      <c r="T27" s="5" t="s">
        <v>184</v>
      </c>
      <c r="U27" s="7">
        <v>2</v>
      </c>
      <c r="V27" s="6"/>
      <c r="W27" s="6"/>
      <c r="X27" s="5" t="s">
        <v>175</v>
      </c>
    </row>
    <row r="28" spans="1:24" ht="16.5">
      <c r="A28" s="5" t="s">
        <v>133</v>
      </c>
      <c r="B28" s="6" t="s">
        <v>224</v>
      </c>
      <c r="C28" s="5">
        <v>120000044467</v>
      </c>
      <c r="D28" s="6" t="s">
        <v>11</v>
      </c>
      <c r="E28" s="6" t="s">
        <v>134</v>
      </c>
      <c r="F28" s="19" t="s">
        <v>249</v>
      </c>
      <c r="G28">
        <v>265.50251839999999</v>
      </c>
      <c r="H28">
        <v>270.34656219999999</v>
      </c>
      <c r="I28" s="6" t="s">
        <v>194</v>
      </c>
      <c r="J28" s="6" t="s">
        <v>12</v>
      </c>
      <c r="K28" s="6" t="s">
        <v>13</v>
      </c>
      <c r="L28" s="6" t="s">
        <v>14</v>
      </c>
      <c r="M28" s="6" t="s">
        <v>15</v>
      </c>
      <c r="N28" s="6" t="s">
        <v>119</v>
      </c>
      <c r="O28" s="6" t="s">
        <v>168</v>
      </c>
      <c r="P28" s="6" t="s">
        <v>169</v>
      </c>
      <c r="Q28" s="6" t="s">
        <v>206</v>
      </c>
      <c r="R28" s="6" t="s">
        <v>207</v>
      </c>
      <c r="S28" s="6" t="s">
        <v>208</v>
      </c>
      <c r="T28" s="5" t="s">
        <v>173</v>
      </c>
      <c r="U28" s="7">
        <v>2</v>
      </c>
      <c r="V28" s="6"/>
      <c r="W28" s="6"/>
      <c r="X28" s="5" t="s">
        <v>175</v>
      </c>
    </row>
    <row r="29" spans="1:24" ht="16.5">
      <c r="A29" s="5" t="s">
        <v>135</v>
      </c>
      <c r="B29" s="6" t="s">
        <v>225</v>
      </c>
      <c r="C29" s="5">
        <v>5580002</v>
      </c>
      <c r="D29" s="6" t="s">
        <v>11</v>
      </c>
      <c r="E29" s="6" t="s">
        <v>136</v>
      </c>
      <c r="F29" s="19" t="s">
        <v>249</v>
      </c>
      <c r="G29">
        <v>279.1483806</v>
      </c>
      <c r="H29">
        <v>270.34656219999999</v>
      </c>
      <c r="I29" s="6" t="s">
        <v>167</v>
      </c>
      <c r="J29" s="6" t="s">
        <v>12</v>
      </c>
      <c r="K29" s="6" t="s">
        <v>13</v>
      </c>
      <c r="L29" s="6" t="s">
        <v>14</v>
      </c>
      <c r="M29" s="6" t="s">
        <v>15</v>
      </c>
      <c r="N29" s="6" t="s">
        <v>119</v>
      </c>
      <c r="O29" s="6" t="s">
        <v>168</v>
      </c>
      <c r="P29" s="6" t="s">
        <v>169</v>
      </c>
      <c r="Q29" s="6" t="s">
        <v>170</v>
      </c>
      <c r="R29" s="6" t="s">
        <v>171</v>
      </c>
      <c r="S29" s="6" t="s">
        <v>172</v>
      </c>
      <c r="T29" s="5" t="s">
        <v>173</v>
      </c>
      <c r="U29" s="7">
        <v>1</v>
      </c>
      <c r="V29" s="6"/>
      <c r="W29" s="6"/>
      <c r="X29" s="5" t="s">
        <v>175</v>
      </c>
    </row>
    <row r="30" spans="1:24" ht="16.5">
      <c r="A30" s="5" t="s">
        <v>135</v>
      </c>
      <c r="B30" s="6" t="s">
        <v>226</v>
      </c>
      <c r="C30" s="5">
        <v>5580004</v>
      </c>
      <c r="D30" s="6" t="s">
        <v>11</v>
      </c>
      <c r="E30" s="6" t="s">
        <v>136</v>
      </c>
      <c r="F30" s="19" t="s">
        <v>249</v>
      </c>
      <c r="G30">
        <v>279.1483806</v>
      </c>
      <c r="H30">
        <v>270.34656219999999</v>
      </c>
      <c r="I30" s="6" t="s">
        <v>178</v>
      </c>
      <c r="J30" s="6" t="s">
        <v>12</v>
      </c>
      <c r="K30" s="6" t="s">
        <v>13</v>
      </c>
      <c r="L30" s="6" t="s">
        <v>14</v>
      </c>
      <c r="M30" s="6" t="s">
        <v>15</v>
      </c>
      <c r="N30" s="6" t="s">
        <v>119</v>
      </c>
      <c r="O30" s="6" t="s">
        <v>179</v>
      </c>
      <c r="P30" s="6" t="s">
        <v>180</v>
      </c>
      <c r="Q30" s="6" t="s">
        <v>227</v>
      </c>
      <c r="R30" s="6" t="s">
        <v>228</v>
      </c>
      <c r="S30" s="6" t="s">
        <v>229</v>
      </c>
      <c r="T30" s="5" t="s">
        <v>184</v>
      </c>
      <c r="U30" s="7">
        <v>1</v>
      </c>
      <c r="V30" s="6"/>
      <c r="W30" s="6"/>
      <c r="X30" s="5" t="s">
        <v>175</v>
      </c>
    </row>
    <row r="31" spans="1:24" ht="16.5">
      <c r="A31" s="5" t="s">
        <v>139</v>
      </c>
      <c r="B31" s="6" t="s">
        <v>230</v>
      </c>
      <c r="C31" s="5">
        <v>5580002</v>
      </c>
      <c r="D31" s="6" t="s">
        <v>11</v>
      </c>
      <c r="E31" s="6" t="s">
        <v>140</v>
      </c>
      <c r="F31" s="19" t="s">
        <v>249</v>
      </c>
      <c r="G31">
        <v>279.1483806</v>
      </c>
      <c r="H31">
        <v>172.85977199999999</v>
      </c>
      <c r="I31" s="6" t="s">
        <v>167</v>
      </c>
      <c r="J31" s="6" t="s">
        <v>12</v>
      </c>
      <c r="K31" s="6" t="s">
        <v>13</v>
      </c>
      <c r="L31" s="6" t="s">
        <v>14</v>
      </c>
      <c r="M31" s="6" t="s">
        <v>15</v>
      </c>
      <c r="N31" s="6" t="s">
        <v>119</v>
      </c>
      <c r="O31" s="6" t="s">
        <v>168</v>
      </c>
      <c r="P31" s="6" t="s">
        <v>169</v>
      </c>
      <c r="Q31" s="6" t="s">
        <v>170</v>
      </c>
      <c r="R31" s="6" t="s">
        <v>171</v>
      </c>
      <c r="S31" s="6" t="s">
        <v>172</v>
      </c>
      <c r="T31" s="5" t="s">
        <v>173</v>
      </c>
      <c r="U31" s="7">
        <v>3</v>
      </c>
      <c r="V31" s="6"/>
      <c r="W31" s="6"/>
      <c r="X31" s="5" t="s">
        <v>175</v>
      </c>
    </row>
    <row r="32" spans="1:24" ht="16.5">
      <c r="A32" s="5" t="s">
        <v>143</v>
      </c>
      <c r="B32" s="6" t="s">
        <v>231</v>
      </c>
      <c r="C32" s="5">
        <v>120000045026</v>
      </c>
      <c r="D32" s="6" t="s">
        <v>11</v>
      </c>
      <c r="E32" s="6" t="s">
        <v>144</v>
      </c>
      <c r="F32" s="19" t="s">
        <v>249</v>
      </c>
      <c r="G32">
        <v>227.44100309999999</v>
      </c>
      <c r="H32">
        <v>172.26588520000001</v>
      </c>
      <c r="I32" s="6" t="s">
        <v>167</v>
      </c>
      <c r="J32" s="6" t="s">
        <v>12</v>
      </c>
      <c r="K32" s="6" t="s">
        <v>13</v>
      </c>
      <c r="L32" s="6" t="s">
        <v>14</v>
      </c>
      <c r="M32" s="6" t="s">
        <v>15</v>
      </c>
      <c r="N32" s="6" t="s">
        <v>119</v>
      </c>
      <c r="O32" s="6" t="s">
        <v>168</v>
      </c>
      <c r="P32" s="6" t="s">
        <v>169</v>
      </c>
      <c r="Q32" s="6" t="s">
        <v>197</v>
      </c>
      <c r="R32" s="6" t="s">
        <v>232</v>
      </c>
      <c r="S32" s="6" t="s">
        <v>233</v>
      </c>
      <c r="T32" s="5" t="s">
        <v>173</v>
      </c>
      <c r="U32" s="7">
        <v>1</v>
      </c>
      <c r="V32" s="6"/>
      <c r="W32" s="6"/>
      <c r="X32" s="5" t="s">
        <v>175</v>
      </c>
    </row>
    <row r="33" spans="1:24" ht="16.5">
      <c r="A33" s="5" t="s">
        <v>143</v>
      </c>
      <c r="B33" s="6" t="s">
        <v>234</v>
      </c>
      <c r="C33" s="5">
        <v>5580004</v>
      </c>
      <c r="D33" s="6" t="s">
        <v>11</v>
      </c>
      <c r="E33" s="6" t="s">
        <v>144</v>
      </c>
      <c r="F33" s="19" t="s">
        <v>249</v>
      </c>
      <c r="G33">
        <v>227.44100309999999</v>
      </c>
      <c r="H33">
        <v>172.26588520000001</v>
      </c>
      <c r="I33" s="6" t="s">
        <v>178</v>
      </c>
      <c r="J33" s="6" t="s">
        <v>12</v>
      </c>
      <c r="K33" s="6" t="s">
        <v>13</v>
      </c>
      <c r="L33" s="6" t="s">
        <v>14</v>
      </c>
      <c r="M33" s="6" t="s">
        <v>15</v>
      </c>
      <c r="N33" s="6" t="s">
        <v>119</v>
      </c>
      <c r="O33" s="6" t="s">
        <v>179</v>
      </c>
      <c r="P33" s="6" t="s">
        <v>180</v>
      </c>
      <c r="Q33" s="6" t="s">
        <v>227</v>
      </c>
      <c r="R33" s="6" t="s">
        <v>228</v>
      </c>
      <c r="S33" s="6" t="s">
        <v>229</v>
      </c>
      <c r="T33" s="5" t="s">
        <v>184</v>
      </c>
      <c r="U33" s="7">
        <v>1</v>
      </c>
      <c r="V33" s="6"/>
      <c r="W33" s="6"/>
      <c r="X33" s="5" t="s">
        <v>175</v>
      </c>
    </row>
    <row r="34" spans="1:24" ht="16.5">
      <c r="A34" s="5" t="s">
        <v>150</v>
      </c>
      <c r="B34" s="6" t="s">
        <v>235</v>
      </c>
      <c r="C34" s="5">
        <v>120000022542</v>
      </c>
      <c r="D34" s="6" t="s">
        <v>11</v>
      </c>
      <c r="E34" s="6" t="s">
        <v>151</v>
      </c>
      <c r="F34" s="19" t="s">
        <v>249</v>
      </c>
      <c r="G34">
        <v>286.05632659999998</v>
      </c>
      <c r="H34">
        <v>185.09233620000001</v>
      </c>
      <c r="I34" s="6" t="s">
        <v>167</v>
      </c>
      <c r="J34" s="6" t="s">
        <v>12</v>
      </c>
      <c r="K34" s="6" t="s">
        <v>13</v>
      </c>
      <c r="L34" s="6" t="s">
        <v>14</v>
      </c>
      <c r="M34" s="6" t="s">
        <v>15</v>
      </c>
      <c r="N34" s="6" t="s">
        <v>119</v>
      </c>
      <c r="O34" s="6" t="s">
        <v>179</v>
      </c>
      <c r="P34" s="6" t="s">
        <v>180</v>
      </c>
      <c r="Q34" s="6" t="s">
        <v>213</v>
      </c>
      <c r="R34" s="6" t="s">
        <v>214</v>
      </c>
      <c r="S34" s="6" t="s">
        <v>215</v>
      </c>
      <c r="T34" s="5" t="s">
        <v>184</v>
      </c>
      <c r="U34" s="7">
        <v>3</v>
      </c>
      <c r="V34" s="6"/>
      <c r="W34" s="6"/>
      <c r="X34" s="5" t="s">
        <v>175</v>
      </c>
    </row>
    <row r="35" spans="1:24">
      <c r="A35" s="5"/>
      <c r="B35" s="6"/>
      <c r="C35" s="5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5"/>
      <c r="U35" s="7"/>
      <c r="V35" s="6"/>
      <c r="W35" s="6"/>
      <c r="X35" s="5" t="s">
        <v>175</v>
      </c>
    </row>
    <row r="36" spans="1:24">
      <c r="A36" s="5"/>
      <c r="B36" s="6"/>
      <c r="C36" s="5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5"/>
      <c r="U36" s="7"/>
      <c r="V36" s="6"/>
      <c r="W36" s="6"/>
      <c r="X36" s="5" t="s">
        <v>175</v>
      </c>
    </row>
    <row r="37" spans="1:24">
      <c r="A37" s="5"/>
      <c r="B37" s="6"/>
      <c r="C37" s="5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5"/>
      <c r="U37" s="7"/>
      <c r="V37" s="6"/>
      <c r="W37" s="6"/>
      <c r="X37" s="6"/>
    </row>
    <row r="38" spans="1:24">
      <c r="A38" s="5"/>
      <c r="B38" s="6"/>
      <c r="C38" s="5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5"/>
      <c r="U38" s="7"/>
      <c r="V38" s="6"/>
      <c r="W38" s="6"/>
      <c r="X38" s="6"/>
    </row>
    <row r="39" spans="1:24">
      <c r="A39" s="5"/>
      <c r="B39" s="6"/>
      <c r="C39" s="5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5"/>
      <c r="U39" s="7"/>
      <c r="V39" s="6"/>
      <c r="W39" s="6"/>
      <c r="X39" s="6"/>
    </row>
    <row r="40" spans="1:24">
      <c r="A40" s="5"/>
      <c r="B40" s="6"/>
      <c r="C40" s="5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5"/>
      <c r="U40" s="7"/>
      <c r="V40" s="6"/>
      <c r="W40" s="6"/>
      <c r="X40" s="6"/>
    </row>
    <row r="41" spans="1:24">
      <c r="A41" s="5"/>
      <c r="B41" s="6"/>
      <c r="C41" s="5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5"/>
      <c r="U41" s="7"/>
      <c r="V41" s="6"/>
      <c r="W41" s="6"/>
      <c r="X41" s="6"/>
    </row>
    <row r="42" spans="1:24">
      <c r="A42" s="5"/>
      <c r="B42" s="6"/>
      <c r="C42" s="5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5"/>
      <c r="U42" s="7"/>
      <c r="V42" s="6"/>
      <c r="W42" s="6"/>
      <c r="X42" s="6"/>
    </row>
    <row r="43" spans="1:2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458A5-B16C-4BEE-8289-1AF7076224D3}">
  <dimension ref="A1:H36"/>
  <sheetViews>
    <sheetView topLeftCell="A6" workbookViewId="0">
      <selection activeCell="B23" sqref="B23:G25"/>
    </sheetView>
  </sheetViews>
  <sheetFormatPr defaultRowHeight="15"/>
  <cols>
    <col min="2" max="4" width="10.7109375" style="16" customWidth="1"/>
    <col min="5" max="5" width="20.7109375" style="16" customWidth="1"/>
    <col min="6" max="6" width="15.7109375" style="16" customWidth="1"/>
    <col min="7" max="7" width="10.7109375" style="16" customWidth="1"/>
    <col min="8" max="8" width="95.5703125" style="16" bestFit="1" customWidth="1"/>
  </cols>
  <sheetData>
    <row r="1" spans="1:8" ht="16.5">
      <c r="A1" s="9" t="s">
        <v>248</v>
      </c>
      <c r="B1" s="11" t="s">
        <v>236</v>
      </c>
      <c r="C1" s="14" t="s">
        <v>237</v>
      </c>
      <c r="D1" s="14" t="s">
        <v>238</v>
      </c>
      <c r="E1" s="11" t="s">
        <v>239</v>
      </c>
      <c r="F1" s="11" t="s">
        <v>242</v>
      </c>
      <c r="G1" s="11" t="s">
        <v>240</v>
      </c>
      <c r="H1" s="11" t="s">
        <v>241</v>
      </c>
    </row>
    <row r="2" spans="1:8">
      <c r="A2" s="18" t="str">
        <f>모니터링결과!F2</f>
        <v>1층</v>
      </c>
      <c r="B2" s="15" t="str">
        <f>모니터링결과!E2</f>
        <v>C01</v>
      </c>
      <c r="C2" s="16">
        <f>모니터링결과!G2</f>
        <v>256.32100000000003</v>
      </c>
      <c r="D2" s="16">
        <f>모니터링결과!H2</f>
        <v>258.75699900000001</v>
      </c>
      <c r="E2" s="15" t="str">
        <f>모니터링결과!R2</f>
        <v>꼬마거미류</v>
      </c>
      <c r="F2" s="16" t="str">
        <f>모니터링결과!T2</f>
        <v>간접가해해충</v>
      </c>
      <c r="G2" s="17">
        <f>모니터링결과!U2</f>
        <v>2</v>
      </c>
      <c r="H2" s="16" t="str" cm="1">
        <f t="array" aca="1" ref="H2" ca="1">_xlfn.TEXTJOIN("&lt;br&gt;", TRUE, _xlfn.MAP(_xlfn.SORTBY(_xlfn.UNIQUE(_xlfn._xlws.FILTER(OFFSET($F$2, 0, 0, COUNTA($B:$B)-1), OFFSET($B$2, 0, 0, COUNTA($B:$B)-1)=B2)), MATCH(_xlfn.UNIQUE(_xlfn._xlws.FILTER(OFFSET($F$2, 0, 0, COUNTA($B:$B)-1), OFFSET($B$2, 0, 0, COUNTA($B:$B)-1)=B2)), {"직접가해해충","간접가해해충","위생해충"}, 0)), _xlfn.LAMBDA(_xlpm.type, _xlpm.type &amp; " : " &amp; _xlfn.TEXTJOIN(", ", TRUE, _xlfn._xlws.FILTER(OFFSET($E$2, 0, 0, COUNTA($B:$B)-1)&amp;"("&amp;OFFSET($G$2, 0, 0, COUNTA($B:$B)-1)&amp;")", (OFFSET($B$2, 0, 0, COUNTA($B:$B)-1)=B2)*(OFFSET($F$2, 0, 0, COUNTA($B:$B)-1)=_xlpm.type))))))</f>
        <v>간접가해해충 : 꼬마거미류(2)</v>
      </c>
    </row>
    <row r="3" spans="1:8">
      <c r="A3" s="18" t="str">
        <f>모니터링결과!F3</f>
        <v>1층</v>
      </c>
      <c r="B3" s="15" t="str">
        <f>모니터링결과!E3</f>
        <v>C03</v>
      </c>
      <c r="C3" s="16">
        <f>모니터링결과!G3</f>
        <v>232.2615347</v>
      </c>
      <c r="D3" s="16">
        <f>모니터링결과!H3</f>
        <v>312.65871420000002</v>
      </c>
      <c r="E3" s="15" t="str">
        <f>모니터링결과!R3</f>
        <v>꼬마거미류</v>
      </c>
      <c r="F3" s="16" t="str">
        <f>모니터링결과!T3</f>
        <v>간접가해해충</v>
      </c>
      <c r="G3" s="17">
        <f>모니터링결과!U3</f>
        <v>1</v>
      </c>
      <c r="H3" s="16" t="str" cm="1">
        <f t="array" aca="1" ref="H3" ca="1">_xlfn.TEXTJOIN("&lt;br&gt;", TRUE, _xlfn.MAP(_xlfn.SORTBY(_xlfn.UNIQUE(_xlfn._xlws.FILTER(OFFSET($F$2, 0, 0, COUNTA($B:$B)-1), OFFSET($B$2, 0, 0, COUNTA($B:$B)-1)=B3)), MATCH(_xlfn.UNIQUE(_xlfn._xlws.FILTER(OFFSET($F$2, 0, 0, COUNTA($B:$B)-1), OFFSET($B$2, 0, 0, COUNTA($B:$B)-1)=B3)), {"직접가해해충","간접가해해충","위생해충"}, 0)), _xlfn.LAMBDA(_xlpm.type, _xlpm.type &amp; " : " &amp; _xlfn.TEXTJOIN(", ", TRUE, _xlfn._xlws.FILTER(OFFSET($E$2, 0, 0, COUNTA($B:$B)-1)&amp;"("&amp;OFFSET($G$2, 0, 0, COUNTA($B:$B)-1)&amp;")", (OFFSET($B$2, 0, 0, COUNTA($B:$B)-1)=B3)*(OFFSET($F$2, 0, 0, COUNTA($B:$B)-1)=_xlpm.type))))))</f>
        <v>간접가해해충 : 꼬마거미류(1)</v>
      </c>
    </row>
    <row r="4" spans="1:8">
      <c r="A4" s="18" t="str">
        <f>모니터링결과!F4</f>
        <v>1층</v>
      </c>
      <c r="B4" s="15" t="str">
        <f>모니터링결과!E4</f>
        <v>C12</v>
      </c>
      <c r="C4" s="16">
        <f>모니터링결과!G4</f>
        <v>253.90088610000001</v>
      </c>
      <c r="D4" s="16">
        <f>모니터링결과!H4</f>
        <v>312.65871420000002</v>
      </c>
      <c r="E4" s="15" t="str">
        <f>모니터링결과!R4</f>
        <v>꼬마거미류</v>
      </c>
      <c r="F4" s="16" t="str">
        <f>모니터링결과!T4</f>
        <v>간접가해해충</v>
      </c>
      <c r="G4" s="17">
        <f>모니터링결과!U4</f>
        <v>1</v>
      </c>
      <c r="H4" s="16" t="str" cm="1">
        <f t="array" aca="1" ref="H4" ca="1">_xlfn.TEXTJOIN("&lt;br&gt;", TRUE, _xlfn.MAP(_xlfn.SORTBY(_xlfn.UNIQUE(_xlfn._xlws.FILTER(OFFSET($F$2, 0, 0, COUNTA($B:$B)-1), OFFSET($B$2, 0, 0, COUNTA($B:$B)-1)=B4)), MATCH(_xlfn.UNIQUE(_xlfn._xlws.FILTER(OFFSET($F$2, 0, 0, COUNTA($B:$B)-1), OFFSET($B$2, 0, 0, COUNTA($B:$B)-1)=B4)), {"직접가해해충","간접가해해충","위생해충"}, 0)), _xlfn.LAMBDA(_xlpm.type, _xlpm.type &amp; " : " &amp; _xlfn.TEXTJOIN(", ", TRUE, _xlfn._xlws.FILTER(OFFSET($E$2, 0, 0, COUNTA($B:$B)-1)&amp;"("&amp;OFFSET($G$2, 0, 0, COUNTA($B:$B)-1)&amp;")", (OFFSET($B$2, 0, 0, COUNTA($B:$B)-1)=B4)*(OFFSET($F$2, 0, 0, COUNTA($B:$B)-1)=_xlpm.type))))))</f>
        <v>간접가해해충 : 꼬마거미류(1)&lt;br&gt;위생해충 : 나방파리류(1)</v>
      </c>
    </row>
    <row r="5" spans="1:8">
      <c r="A5" s="18" t="str">
        <f>모니터링결과!F5</f>
        <v>1층</v>
      </c>
      <c r="B5" s="15" t="str">
        <f>모니터링결과!E5</f>
        <v>C12</v>
      </c>
      <c r="C5" s="16">
        <f>모니터링결과!G5</f>
        <v>253.90088610000001</v>
      </c>
      <c r="D5" s="16">
        <f>모니터링결과!H5</f>
        <v>312.65871420000002</v>
      </c>
      <c r="E5" s="15" t="str">
        <f>모니터링결과!R5</f>
        <v>나방파리류</v>
      </c>
      <c r="F5" s="16" t="str">
        <f>모니터링결과!T5</f>
        <v>위생해충</v>
      </c>
      <c r="G5" s="17">
        <f>모니터링결과!U5</f>
        <v>1</v>
      </c>
      <c r="H5" s="16" t="str" cm="1">
        <f t="array" aca="1" ref="H5" ca="1">_xlfn.TEXTJOIN("&lt;br&gt;", TRUE, _xlfn.MAP(_xlfn.SORTBY(_xlfn.UNIQUE(_xlfn._xlws.FILTER(OFFSET($F$2, 0, 0, COUNTA($B:$B)-1), OFFSET($B$2, 0, 0, COUNTA($B:$B)-1)=B5)), MATCH(_xlfn.UNIQUE(_xlfn._xlws.FILTER(OFFSET($F$2, 0, 0, COUNTA($B:$B)-1), OFFSET($B$2, 0, 0, COUNTA($B:$B)-1)=B5)), {"직접가해해충","간접가해해충","위생해충"}, 0)), _xlfn.LAMBDA(_xlpm.type, _xlpm.type &amp; " : " &amp; _xlfn.TEXTJOIN(", ", TRUE, _xlfn._xlws.FILTER(OFFSET($E$2, 0, 0, COUNTA($B:$B)-1)&amp;"("&amp;OFFSET($G$2, 0, 0, COUNTA($B:$B)-1)&amp;")", (OFFSET($B$2, 0, 0, COUNTA($B:$B)-1)=B5)*(OFFSET($F$2, 0, 0, COUNTA($B:$B)-1)=_xlpm.type))))))</f>
        <v>간접가해해충 : 꼬마거미류(1)&lt;br&gt;위생해충 : 나방파리류(1)</v>
      </c>
    </row>
    <row r="6" spans="1:8">
      <c r="A6" s="18" t="str">
        <f>모니터링결과!F6</f>
        <v>1층</v>
      </c>
      <c r="B6" s="15" t="str">
        <f>모니터링결과!E6</f>
        <v>C20</v>
      </c>
      <c r="C6" s="16">
        <f>모니터링결과!G6</f>
        <v>212.1305529</v>
      </c>
      <c r="D6" s="16">
        <f>모니터링결과!H6</f>
        <v>267.01168560000002</v>
      </c>
      <c r="E6" s="15" t="str">
        <f>모니터링결과!R6</f>
        <v>다듬이벌레류</v>
      </c>
      <c r="F6" s="16" t="str">
        <f>모니터링결과!T6</f>
        <v>직접가해해충</v>
      </c>
      <c r="G6" s="17">
        <f>모니터링결과!U6</f>
        <v>6</v>
      </c>
      <c r="H6" s="16" t="str" cm="1">
        <f t="array" aca="1" ref="H6" ca="1">_xlfn.TEXTJOIN("&lt;br&gt;", TRUE, _xlfn.MAP(_xlfn.SORTBY(_xlfn.UNIQUE(_xlfn._xlws.FILTER(OFFSET($F$2, 0, 0, COUNTA($B:$B)-1), OFFSET($B$2, 0, 0, COUNTA($B:$B)-1)=B6)), MATCH(_xlfn.UNIQUE(_xlfn._xlws.FILTER(OFFSET($F$2, 0, 0, COUNTA($B:$B)-1), OFFSET($B$2, 0, 0, COUNTA($B:$B)-1)=B6)), {"직접가해해충","간접가해해충","위생해충"}, 0)), _xlfn.LAMBDA(_xlpm.type, _xlpm.type &amp; " : " &amp; _xlfn.TEXTJOIN(", ", TRUE, _xlfn._xlws.FILTER(OFFSET($E$2, 0, 0, COUNTA($B:$B)-1)&amp;"("&amp;OFFSET($G$2, 0, 0, COUNTA($B:$B)-1)&amp;")", (OFFSET($B$2, 0, 0, COUNTA($B:$B)-1)=B6)*(OFFSET($F$2, 0, 0, COUNTA($B:$B)-1)=_xlpm.type))))))</f>
        <v>직접가해해충 : 다듬이벌레류(6)</v>
      </c>
    </row>
    <row r="7" spans="1:8">
      <c r="A7" s="18" t="str">
        <f>모니터링결과!F7</f>
        <v>1층</v>
      </c>
      <c r="B7" s="15" t="str">
        <f>모니터링결과!E7</f>
        <v>C25</v>
      </c>
      <c r="C7" s="16">
        <f>모니터링결과!G7</f>
        <v>48.174458600000001</v>
      </c>
      <c r="D7" s="16">
        <f>모니터링결과!H7</f>
        <v>365.8363645</v>
      </c>
      <c r="E7" s="15" t="str">
        <f>모니터링결과!R7</f>
        <v>다듬이벌레류</v>
      </c>
      <c r="F7" s="16" t="str">
        <f>모니터링결과!T7</f>
        <v>직접가해해충</v>
      </c>
      <c r="G7" s="17">
        <f>모니터링결과!U7</f>
        <v>1</v>
      </c>
      <c r="H7" s="16" t="str" cm="1">
        <f t="array" aca="1" ref="H7" ca="1">_xlfn.TEXTJOIN("&lt;br&gt;", TRUE, _xlfn.MAP(_xlfn.SORTBY(_xlfn.UNIQUE(_xlfn._xlws.FILTER(OFFSET($F$2, 0, 0, COUNTA($B:$B)-1), OFFSET($B$2, 0, 0, COUNTA($B:$B)-1)=B7)), MATCH(_xlfn.UNIQUE(_xlfn._xlws.FILTER(OFFSET($F$2, 0, 0, COUNTA($B:$B)-1), OFFSET($B$2, 0, 0, COUNTA($B:$B)-1)=B7)), {"직접가해해충","간접가해해충","위생해충"}, 0)), _xlfn.LAMBDA(_xlpm.type, _xlpm.type &amp; " : " &amp; _xlfn.TEXTJOIN(", ", TRUE, _xlfn._xlws.FILTER(OFFSET($E$2, 0, 0, COUNTA($B:$B)-1)&amp;"("&amp;OFFSET($G$2, 0, 0, COUNTA($B:$B)-1)&amp;")", (OFFSET($B$2, 0, 0, COUNTA($B:$B)-1)=B7)*(OFFSET($F$2, 0, 0, COUNTA($B:$B)-1)=_xlpm.type))))))</f>
        <v>직접가해해충 : 다듬이벌레류(1)</v>
      </c>
    </row>
    <row r="8" spans="1:8">
      <c r="A8" s="18" t="str">
        <f>모니터링결과!F8</f>
        <v>1층</v>
      </c>
      <c r="B8" s="15" t="str">
        <f>모니터링결과!E8</f>
        <v>C34</v>
      </c>
      <c r="C8" s="16">
        <f>모니터링결과!G8</f>
        <v>290.76116480000002</v>
      </c>
      <c r="D8" s="16">
        <f>모니터링결과!H8</f>
        <v>196.07882889999999</v>
      </c>
      <c r="E8" s="15" t="str">
        <f>모니터링결과!R8</f>
        <v>꼬마거미류</v>
      </c>
      <c r="F8" s="16" t="str">
        <f>모니터링결과!T8</f>
        <v>간접가해해충</v>
      </c>
      <c r="G8" s="17">
        <f>모니터링결과!U8</f>
        <v>1</v>
      </c>
      <c r="H8" s="16" t="str" cm="1">
        <f t="array" aca="1" ref="H8" ca="1">_xlfn.TEXTJOIN("&lt;br&gt;", TRUE, _xlfn.MAP(_xlfn.SORTBY(_xlfn.UNIQUE(_xlfn._xlws.FILTER(OFFSET($F$2, 0, 0, COUNTA($B:$B)-1), OFFSET($B$2, 0, 0, COUNTA($B:$B)-1)=B8)), MATCH(_xlfn.UNIQUE(_xlfn._xlws.FILTER(OFFSET($F$2, 0, 0, COUNTA($B:$B)-1), OFFSET($B$2, 0, 0, COUNTA($B:$B)-1)=B8)), {"직접가해해충","간접가해해충","위생해충"}, 0)), _xlfn.LAMBDA(_xlpm.type, _xlpm.type &amp; " : " &amp; _xlfn.TEXTJOIN(", ", TRUE, _xlfn._xlws.FILTER(OFFSET($E$2, 0, 0, COUNTA($B:$B)-1)&amp;"("&amp;OFFSET($G$2, 0, 0, COUNTA($B:$B)-1)&amp;")", (OFFSET($B$2, 0, 0, COUNTA($B:$B)-1)=B8)*(OFFSET($F$2, 0, 0, COUNTA($B:$B)-1)=_xlpm.type))))))</f>
        <v>직접가해해충 : 다듬이벌레류(2)&lt;br&gt;간접가해해충 : 꼬마거미류(1)&lt;br&gt;위생해충 : 나방파리류(1)</v>
      </c>
    </row>
    <row r="9" spans="1:8">
      <c r="A9" s="18" t="str">
        <f>모니터링결과!F9</f>
        <v>1층</v>
      </c>
      <c r="B9" s="15" t="str">
        <f>모니터링결과!E9</f>
        <v>C34</v>
      </c>
      <c r="C9" s="16">
        <f>모니터링결과!G9</f>
        <v>290.76116480000002</v>
      </c>
      <c r="D9" s="16">
        <f>모니터링결과!H9</f>
        <v>196.07882889999999</v>
      </c>
      <c r="E9" s="15" t="str">
        <f>모니터링결과!R9</f>
        <v>나방파리류</v>
      </c>
      <c r="F9" s="16" t="str">
        <f>모니터링결과!T9</f>
        <v>위생해충</v>
      </c>
      <c r="G9" s="17">
        <f>모니터링결과!U9</f>
        <v>1</v>
      </c>
      <c r="H9" s="16" t="str" cm="1">
        <f t="array" aca="1" ref="H9" ca="1">_xlfn.TEXTJOIN("&lt;br&gt;", TRUE, _xlfn.MAP(_xlfn.SORTBY(_xlfn.UNIQUE(_xlfn._xlws.FILTER(OFFSET($F$2, 0, 0, COUNTA($B:$B)-1), OFFSET($B$2, 0, 0, COUNTA($B:$B)-1)=B9)), MATCH(_xlfn.UNIQUE(_xlfn._xlws.FILTER(OFFSET($F$2, 0, 0, COUNTA($B:$B)-1), OFFSET($B$2, 0, 0, COUNTA($B:$B)-1)=B9)), {"직접가해해충","간접가해해충","위생해충"}, 0)), _xlfn.LAMBDA(_xlpm.type, _xlpm.type &amp; " : " &amp; _xlfn.TEXTJOIN(", ", TRUE, _xlfn._xlws.FILTER(OFFSET($E$2, 0, 0, COUNTA($B:$B)-1)&amp;"("&amp;OFFSET($G$2, 0, 0, COUNTA($B:$B)-1)&amp;")", (OFFSET($B$2, 0, 0, COUNTA($B:$B)-1)=B9)*(OFFSET($F$2, 0, 0, COUNTA($B:$B)-1)=_xlpm.type))))))</f>
        <v>직접가해해충 : 다듬이벌레류(2)&lt;br&gt;간접가해해충 : 꼬마거미류(1)&lt;br&gt;위생해충 : 나방파리류(1)</v>
      </c>
    </row>
    <row r="10" spans="1:8">
      <c r="A10" s="18" t="str">
        <f>모니터링결과!F10</f>
        <v>1층</v>
      </c>
      <c r="B10" s="15" t="str">
        <f>모니터링결과!E10</f>
        <v>C34</v>
      </c>
      <c r="C10" s="16">
        <f>모니터링결과!G10</f>
        <v>290.76116480000002</v>
      </c>
      <c r="D10" s="16">
        <f>모니터링결과!H10</f>
        <v>196.07882889999999</v>
      </c>
      <c r="E10" s="15" t="str">
        <f>모니터링결과!R10</f>
        <v>다듬이벌레류</v>
      </c>
      <c r="F10" s="16" t="str">
        <f>모니터링결과!T10</f>
        <v>직접가해해충</v>
      </c>
      <c r="G10" s="17">
        <f>모니터링결과!U10</f>
        <v>2</v>
      </c>
      <c r="H10" s="16" t="str" cm="1">
        <f t="array" aca="1" ref="H10" ca="1">_xlfn.TEXTJOIN("&lt;br&gt;", TRUE, _xlfn.MAP(_xlfn.SORTBY(_xlfn.UNIQUE(_xlfn._xlws.FILTER(OFFSET($F$2, 0, 0, COUNTA($B:$B)-1), OFFSET($B$2, 0, 0, COUNTA($B:$B)-1)=B10)), MATCH(_xlfn.UNIQUE(_xlfn._xlws.FILTER(OFFSET($F$2, 0, 0, COUNTA($B:$B)-1), OFFSET($B$2, 0, 0, COUNTA($B:$B)-1)=B10)), {"직접가해해충","간접가해해충","위생해충"}, 0)), _xlfn.LAMBDA(_xlpm.type, _xlpm.type &amp; " : " &amp; _xlfn.TEXTJOIN(", ", TRUE, _xlfn._xlws.FILTER(OFFSET($E$2, 0, 0, COUNTA($B:$B)-1)&amp;"("&amp;OFFSET($G$2, 0, 0, COUNTA($B:$B)-1)&amp;")", (OFFSET($B$2, 0, 0, COUNTA($B:$B)-1)=B10)*(OFFSET($F$2, 0, 0, COUNTA($B:$B)-1)=_xlpm.type))))))</f>
        <v>직접가해해충 : 다듬이벌레류(2)&lt;br&gt;간접가해해충 : 꼬마거미류(1)&lt;br&gt;위생해충 : 나방파리류(1)</v>
      </c>
    </row>
    <row r="11" spans="1:8">
      <c r="A11" s="18" t="str">
        <f>모니터링결과!F11</f>
        <v>1층</v>
      </c>
      <c r="B11" s="15" t="str">
        <f>모니터링결과!E11</f>
        <v>C35</v>
      </c>
      <c r="C11" s="16">
        <f>모니터링결과!G11</f>
        <v>290.76116480000002</v>
      </c>
      <c r="D11" s="16">
        <f>모니터링결과!H11</f>
        <v>174.10584349999999</v>
      </c>
      <c r="E11" s="15" t="str">
        <f>모니터링결과!R11</f>
        <v>다듬이벌레류</v>
      </c>
      <c r="F11" s="16" t="str">
        <f>모니터링결과!T11</f>
        <v>직접가해해충</v>
      </c>
      <c r="G11" s="17">
        <f>모니터링결과!U11</f>
        <v>2</v>
      </c>
      <c r="H11" s="16" t="str" cm="1">
        <f t="array" aca="1" ref="H11" ca="1">_xlfn.TEXTJOIN("&lt;br&gt;", TRUE, _xlfn.MAP(_xlfn.SORTBY(_xlfn.UNIQUE(_xlfn._xlws.FILTER(OFFSET($F$2, 0, 0, COUNTA($B:$B)-1), OFFSET($B$2, 0, 0, COUNTA($B:$B)-1)=B11)), MATCH(_xlfn.UNIQUE(_xlfn._xlws.FILTER(OFFSET($F$2, 0, 0, COUNTA($B:$B)-1), OFFSET($B$2, 0, 0, COUNTA($B:$B)-1)=B11)), {"직접가해해충","간접가해해충","위생해충"}, 0)), _xlfn.LAMBDA(_xlpm.type, _xlpm.type &amp; " : " &amp; _xlfn.TEXTJOIN(", ", TRUE, _xlfn._xlws.FILTER(OFFSET($E$2, 0, 0, COUNTA($B:$B)-1)&amp;"("&amp;OFFSET($G$2, 0, 0, COUNTA($B:$B)-1)&amp;")", (OFFSET($B$2, 0, 0, COUNTA($B:$B)-1)=B11)*(OFFSET($F$2, 0, 0, COUNTA($B:$B)-1)=_xlpm.type))))))</f>
        <v>직접가해해충 : 다듬이벌레류(2)&lt;br&gt;간접가해해충 : 집가게거미(1), 꼬마거미류(1)</v>
      </c>
    </row>
    <row r="12" spans="1:8">
      <c r="A12" s="18" t="str">
        <f>모니터링결과!F12</f>
        <v>1층</v>
      </c>
      <c r="B12" s="15" t="str">
        <f>모니터링결과!E12</f>
        <v>C35</v>
      </c>
      <c r="C12" s="16">
        <f>모니터링결과!G12</f>
        <v>290.76116480000002</v>
      </c>
      <c r="D12" s="16">
        <f>모니터링결과!H12</f>
        <v>174.10584349999999</v>
      </c>
      <c r="E12" s="15" t="str">
        <f>모니터링결과!R12</f>
        <v>집가게거미</v>
      </c>
      <c r="F12" s="16" t="str">
        <f>모니터링결과!T12</f>
        <v>간접가해해충</v>
      </c>
      <c r="G12" s="17">
        <f>모니터링결과!U12</f>
        <v>1</v>
      </c>
      <c r="H12" s="16" t="str" cm="1">
        <f t="array" aca="1" ref="H12" ca="1">_xlfn.TEXTJOIN("&lt;br&gt;", TRUE, _xlfn.MAP(_xlfn.SORTBY(_xlfn.UNIQUE(_xlfn._xlws.FILTER(OFFSET($F$2, 0, 0, COUNTA($B:$B)-1), OFFSET($B$2, 0, 0, COUNTA($B:$B)-1)=B12)), MATCH(_xlfn.UNIQUE(_xlfn._xlws.FILTER(OFFSET($F$2, 0, 0, COUNTA($B:$B)-1), OFFSET($B$2, 0, 0, COUNTA($B:$B)-1)=B12)), {"직접가해해충","간접가해해충","위생해충"}, 0)), _xlfn.LAMBDA(_xlpm.type, _xlpm.type &amp; " : " &amp; _xlfn.TEXTJOIN(", ", TRUE, _xlfn._xlws.FILTER(OFFSET($E$2, 0, 0, COUNTA($B:$B)-1)&amp;"("&amp;OFFSET($G$2, 0, 0, COUNTA($B:$B)-1)&amp;")", (OFFSET($B$2, 0, 0, COUNTA($B:$B)-1)=B12)*(OFFSET($F$2, 0, 0, COUNTA($B:$B)-1)=_xlpm.type))))))</f>
        <v>직접가해해충 : 다듬이벌레류(2)&lt;br&gt;간접가해해충 : 집가게거미(1), 꼬마거미류(1)</v>
      </c>
    </row>
    <row r="13" spans="1:8">
      <c r="A13" s="18" t="str">
        <f>모니터링결과!F13</f>
        <v>1층</v>
      </c>
      <c r="B13" s="15" t="str">
        <f>모니터링결과!E13</f>
        <v>C35</v>
      </c>
      <c r="C13" s="16">
        <f>모니터링결과!G13</f>
        <v>290.76116480000002</v>
      </c>
      <c r="D13" s="16">
        <f>모니터링결과!H13</f>
        <v>174.10584349999999</v>
      </c>
      <c r="E13" s="15" t="str">
        <f>모니터링결과!R13</f>
        <v>꼬마거미류</v>
      </c>
      <c r="F13" s="16" t="str">
        <f>모니터링결과!T13</f>
        <v>간접가해해충</v>
      </c>
      <c r="G13" s="17">
        <f>모니터링결과!U13</f>
        <v>1</v>
      </c>
      <c r="H13" s="16" t="str" cm="1">
        <f t="array" aca="1" ref="H13" ca="1">_xlfn.TEXTJOIN("&lt;br&gt;", TRUE, _xlfn.MAP(_xlfn.SORTBY(_xlfn.UNIQUE(_xlfn._xlws.FILTER(OFFSET($F$2, 0, 0, COUNTA($B:$B)-1), OFFSET($B$2, 0, 0, COUNTA($B:$B)-1)=B13)), MATCH(_xlfn.UNIQUE(_xlfn._xlws.FILTER(OFFSET($F$2, 0, 0, COUNTA($B:$B)-1), OFFSET($B$2, 0, 0, COUNTA($B:$B)-1)=B13)), {"직접가해해충","간접가해해충","위생해충"}, 0)), _xlfn.LAMBDA(_xlpm.type, _xlpm.type &amp; " : " &amp; _xlfn.TEXTJOIN(", ", TRUE, _xlfn._xlws.FILTER(OFFSET($E$2, 0, 0, COUNTA($B:$B)-1)&amp;"("&amp;OFFSET($G$2, 0, 0, COUNTA($B:$B)-1)&amp;")", (OFFSET($B$2, 0, 0, COUNTA($B:$B)-1)=B13)*(OFFSET($F$2, 0, 0, COUNTA($B:$B)-1)=_xlpm.type))))))</f>
        <v>직접가해해충 : 다듬이벌레류(2)&lt;br&gt;간접가해해충 : 집가게거미(1), 꼬마거미류(1)</v>
      </c>
    </row>
    <row r="14" spans="1:8">
      <c r="A14" s="18" t="str">
        <f>모니터링결과!F14</f>
        <v>1층</v>
      </c>
      <c r="B14" s="15" t="str">
        <f>모니터링결과!E14</f>
        <v>C36</v>
      </c>
      <c r="C14" s="16">
        <f>모니터링결과!G14</f>
        <v>318.63544180000002</v>
      </c>
      <c r="D14" s="16">
        <f>모니터링결과!H14</f>
        <v>192.74395229999999</v>
      </c>
      <c r="E14" s="15" t="str">
        <f>모니터링결과!R14</f>
        <v>다듬이벌레류</v>
      </c>
      <c r="F14" s="16" t="str">
        <f>모니터링결과!T14</f>
        <v>직접가해해충</v>
      </c>
      <c r="G14" s="17">
        <f>모니터링결과!U14</f>
        <v>2</v>
      </c>
      <c r="H14" s="16" t="str" cm="1">
        <f t="array" aca="1" ref="H14" ca="1">_xlfn.TEXTJOIN("&lt;br&gt;", TRUE, _xlfn.MAP(_xlfn.SORTBY(_xlfn.UNIQUE(_xlfn._xlws.FILTER(OFFSET($F$2, 0, 0, COUNTA($B:$B)-1), OFFSET($B$2, 0, 0, COUNTA($B:$B)-1)=B14)), MATCH(_xlfn.UNIQUE(_xlfn._xlws.FILTER(OFFSET($F$2, 0, 0, COUNTA($B:$B)-1), OFFSET($B$2, 0, 0, COUNTA($B:$B)-1)=B14)), {"직접가해해충","간접가해해충","위생해충"}, 0)), _xlfn.LAMBDA(_xlpm.type, _xlpm.type &amp; " : " &amp; _xlfn.TEXTJOIN(", ", TRUE, _xlfn._xlws.FILTER(OFFSET($E$2, 0, 0, COUNTA($B:$B)-1)&amp;"("&amp;OFFSET($G$2, 0, 0, COUNTA($B:$B)-1)&amp;")", (OFFSET($B$2, 0, 0, COUNTA($B:$B)-1)=B14)*(OFFSET($F$2, 0, 0, COUNTA($B:$B)-1)=_xlpm.type))))))</f>
        <v>직접가해해충 : 다듬이벌레류(2)</v>
      </c>
    </row>
    <row r="15" spans="1:8">
      <c r="A15" s="18" t="str">
        <f>모니터링결과!F15</f>
        <v>1층</v>
      </c>
      <c r="B15" s="15" t="str">
        <f>모니터링결과!E15</f>
        <v>C39</v>
      </c>
      <c r="C15" s="16">
        <f>모니터링결과!G15</f>
        <v>446.55459630000001</v>
      </c>
      <c r="D15" s="16">
        <f>모니터링결과!H15</f>
        <v>262.09187559999998</v>
      </c>
      <c r="E15" s="15" t="str">
        <f>모니터링결과!R15</f>
        <v>다듬이벌레류</v>
      </c>
      <c r="F15" s="16" t="str">
        <f>모니터링결과!T15</f>
        <v>직접가해해충</v>
      </c>
      <c r="G15" s="17">
        <f>모니터링결과!U15</f>
        <v>1</v>
      </c>
      <c r="H15" s="16" t="str" cm="1">
        <f t="array" aca="1" ref="H15" ca="1">_xlfn.TEXTJOIN("&lt;br&gt;", TRUE, _xlfn.MAP(_xlfn.SORTBY(_xlfn.UNIQUE(_xlfn._xlws.FILTER(OFFSET($F$2, 0, 0, COUNTA($B:$B)-1), OFFSET($B$2, 0, 0, COUNTA($B:$B)-1)=B15)), MATCH(_xlfn.UNIQUE(_xlfn._xlws.FILTER(OFFSET($F$2, 0, 0, COUNTA($B:$B)-1), OFFSET($B$2, 0, 0, COUNTA($B:$B)-1)=B15)), {"직접가해해충","간접가해해충","위생해충"}, 0)), _xlfn.LAMBDA(_xlpm.type, _xlpm.type &amp; " : " &amp; _xlfn.TEXTJOIN(", ", TRUE, _xlfn._xlws.FILTER(OFFSET($E$2, 0, 0, COUNTA($B:$B)-1)&amp;"("&amp;OFFSET($G$2, 0, 0, COUNTA($B:$B)-1)&amp;")", (OFFSET($B$2, 0, 0, COUNTA($B:$B)-1)=B15)*(OFFSET($F$2, 0, 0, COUNTA($B:$B)-1)=_xlpm.type))))))</f>
        <v>직접가해해충 : 다듬이벌레류(1)</v>
      </c>
    </row>
    <row r="16" spans="1:8">
      <c r="A16" s="18" t="str">
        <f>모니터링결과!F16</f>
        <v>1층</v>
      </c>
      <c r="B16" s="15" t="str">
        <f>모니터링결과!E16</f>
        <v>C48</v>
      </c>
      <c r="C16" s="16">
        <f>모니터링결과!G16</f>
        <v>227.44100309999999</v>
      </c>
      <c r="D16" s="16">
        <f>모니터링결과!H16</f>
        <v>182.75207</v>
      </c>
      <c r="E16" s="15" t="str">
        <f>모니터링결과!R16</f>
        <v>나방파리류</v>
      </c>
      <c r="F16" s="16" t="str">
        <f>모니터링결과!T16</f>
        <v>위생해충</v>
      </c>
      <c r="G16" s="17">
        <f>모니터링결과!U16</f>
        <v>1</v>
      </c>
      <c r="H16" s="16" t="str" cm="1">
        <f t="array" aca="1" ref="H16" ca="1">_xlfn.TEXTJOIN("&lt;br&gt;", TRUE, _xlfn.MAP(_xlfn.SORTBY(_xlfn.UNIQUE(_xlfn._xlws.FILTER(OFFSET($F$2, 0, 0, COUNTA($B:$B)-1), OFFSET($B$2, 0, 0, COUNTA($B:$B)-1)=B16)), MATCH(_xlfn.UNIQUE(_xlfn._xlws.FILTER(OFFSET($F$2, 0, 0, COUNTA($B:$B)-1), OFFSET($B$2, 0, 0, COUNTA($B:$B)-1)=B16)), {"직접가해해충","간접가해해충","위생해충"}, 0)), _xlfn.LAMBDA(_xlpm.type, _xlpm.type &amp; " : " &amp; _xlfn.TEXTJOIN(", ", TRUE, _xlfn._xlws.FILTER(OFFSET($E$2, 0, 0, COUNTA($B:$B)-1)&amp;"("&amp;OFFSET($G$2, 0, 0, COUNTA($B:$B)-1)&amp;")", (OFFSET($B$2, 0, 0, COUNTA($B:$B)-1)=B16)*(OFFSET($F$2, 0, 0, COUNTA($B:$B)-1)=_xlpm.type))))))</f>
        <v>간접가해해충 : 꼬마거미류(1)&lt;br&gt;위생해충 : 나방파리류(1)</v>
      </c>
    </row>
    <row r="17" spans="1:8">
      <c r="A17" s="18" t="str">
        <f>모니터링결과!F17</f>
        <v>1층</v>
      </c>
      <c r="B17" s="15" t="str">
        <f>모니터링결과!E17</f>
        <v>C48</v>
      </c>
      <c r="C17" s="16">
        <f>모니터링결과!G17</f>
        <v>227.44100309999999</v>
      </c>
      <c r="D17" s="16">
        <f>모니터링결과!H17</f>
        <v>182.75207</v>
      </c>
      <c r="E17" s="15" t="str">
        <f>모니터링결과!R17</f>
        <v>꼬마거미류</v>
      </c>
      <c r="F17" s="16" t="str">
        <f>모니터링결과!T17</f>
        <v>간접가해해충</v>
      </c>
      <c r="G17" s="17">
        <f>모니터링결과!U17</f>
        <v>1</v>
      </c>
      <c r="H17" s="16" t="str" cm="1">
        <f t="array" aca="1" ref="H17" ca="1">_xlfn.TEXTJOIN("&lt;br&gt;", TRUE, _xlfn.MAP(_xlfn.SORTBY(_xlfn.UNIQUE(_xlfn._xlws.FILTER(OFFSET($F$2, 0, 0, COUNTA($B:$B)-1), OFFSET($B$2, 0, 0, COUNTA($B:$B)-1)=B17)), MATCH(_xlfn.UNIQUE(_xlfn._xlws.FILTER(OFFSET($F$2, 0, 0, COUNTA($B:$B)-1), OFFSET($B$2, 0, 0, COUNTA($B:$B)-1)=B17)), {"직접가해해충","간접가해해충","위생해충"}, 0)), _xlfn.LAMBDA(_xlpm.type, _xlpm.type &amp; " : " &amp; _xlfn.TEXTJOIN(", ", TRUE, _xlfn._xlws.FILTER(OFFSET($E$2, 0, 0, COUNTA($B:$B)-1)&amp;"("&amp;OFFSET($G$2, 0, 0, COUNTA($B:$B)-1)&amp;")", (OFFSET($B$2, 0, 0, COUNTA($B:$B)-1)=B17)*(OFFSET($F$2, 0, 0, COUNTA($B:$B)-1)=_xlpm.type))))))</f>
        <v>간접가해해충 : 꼬마거미류(1)&lt;br&gt;위생해충 : 나방파리류(1)</v>
      </c>
    </row>
    <row r="18" spans="1:8">
      <c r="A18" s="18" t="str">
        <f>모니터링결과!F18</f>
        <v>1층</v>
      </c>
      <c r="B18" s="15" t="str">
        <f>모니터링결과!E18</f>
        <v>C49</v>
      </c>
      <c r="C18" s="16">
        <f>모니터링결과!G18</f>
        <v>227.44100309999999</v>
      </c>
      <c r="D18" s="16">
        <f>모니터링결과!H18</f>
        <v>195.2688459</v>
      </c>
      <c r="E18" s="15" t="str">
        <f>모니터링결과!R18</f>
        <v>집유령거미</v>
      </c>
      <c r="F18" s="16" t="str">
        <f>모니터링결과!T18</f>
        <v>간접가해해충</v>
      </c>
      <c r="G18" s="17">
        <f>모니터링결과!U18</f>
        <v>1</v>
      </c>
      <c r="H18" s="16" t="str" cm="1">
        <f t="array" aca="1" ref="H18" ca="1">_xlfn.TEXTJOIN("&lt;br&gt;", TRUE, _xlfn.MAP(_xlfn.SORTBY(_xlfn.UNIQUE(_xlfn._xlws.FILTER(OFFSET($F$2, 0, 0, COUNTA($B:$B)-1), OFFSET($B$2, 0, 0, COUNTA($B:$B)-1)=B18)), MATCH(_xlfn.UNIQUE(_xlfn._xlws.FILTER(OFFSET($F$2, 0, 0, COUNTA($B:$B)-1), OFFSET($B$2, 0, 0, COUNTA($B:$B)-1)=B18)), {"직접가해해충","간접가해해충","위생해충"}, 0)), _xlfn.LAMBDA(_xlpm.type, _xlpm.type &amp; " : " &amp; _xlfn.TEXTJOIN(", ", TRUE, _xlfn._xlws.FILTER(OFFSET($E$2, 0, 0, COUNTA($B:$B)-1)&amp;"("&amp;OFFSET($G$2, 0, 0, COUNTA($B:$B)-1)&amp;")", (OFFSET($B$2, 0, 0, COUNTA($B:$B)-1)=B18)*(OFFSET($F$2, 0, 0, COUNTA($B:$B)-1)=_xlpm.type))))))</f>
        <v>간접가해해충 : 집유령거미(1), 꼬마거미류(1)</v>
      </c>
    </row>
    <row r="19" spans="1:8">
      <c r="A19" s="18" t="str">
        <f>모니터링결과!F19</f>
        <v>1층</v>
      </c>
      <c r="B19" s="15" t="str">
        <f>모니터링결과!E19</f>
        <v>C49</v>
      </c>
      <c r="C19" s="16">
        <f>모니터링결과!G19</f>
        <v>227.44100309999999</v>
      </c>
      <c r="D19" s="16">
        <f>모니터링결과!H19</f>
        <v>195.2688459</v>
      </c>
      <c r="E19" s="15" t="str">
        <f>모니터링결과!R19</f>
        <v>꼬마거미류</v>
      </c>
      <c r="F19" s="16" t="str">
        <f>모니터링결과!T19</f>
        <v>간접가해해충</v>
      </c>
      <c r="G19" s="17">
        <f>모니터링결과!U19</f>
        <v>1</v>
      </c>
      <c r="H19" s="16" t="str" cm="1">
        <f t="array" aca="1" ref="H19" ca="1">_xlfn.TEXTJOIN("&lt;br&gt;", TRUE, _xlfn.MAP(_xlfn.SORTBY(_xlfn.UNIQUE(_xlfn._xlws.FILTER(OFFSET($F$2, 0, 0, COUNTA($B:$B)-1), OFFSET($B$2, 0, 0, COUNTA($B:$B)-1)=B19)), MATCH(_xlfn.UNIQUE(_xlfn._xlws.FILTER(OFFSET($F$2, 0, 0, COUNTA($B:$B)-1), OFFSET($B$2, 0, 0, COUNTA($B:$B)-1)=B19)), {"직접가해해충","간접가해해충","위생해충"}, 0)), _xlfn.LAMBDA(_xlpm.type, _xlpm.type &amp; " : " &amp; _xlfn.TEXTJOIN(", ", TRUE, _xlfn._xlws.FILTER(OFFSET($E$2, 0, 0, COUNTA($B:$B)-1)&amp;"("&amp;OFFSET($G$2, 0, 0, COUNTA($B:$B)-1)&amp;")", (OFFSET($B$2, 0, 0, COUNTA($B:$B)-1)=B19)*(OFFSET($F$2, 0, 0, COUNTA($B:$B)-1)=_xlpm.type))))))</f>
        <v>간접가해해충 : 집유령거미(1), 꼬마거미류(1)</v>
      </c>
    </row>
    <row r="20" spans="1:8">
      <c r="A20" s="18" t="str">
        <f>모니터링결과!F20</f>
        <v>1층</v>
      </c>
      <c r="B20" s="15" t="str">
        <f>모니터링결과!E20</f>
        <v>C51</v>
      </c>
      <c r="C20" s="16">
        <f>모니터링결과!G20</f>
        <v>249.00190649999999</v>
      </c>
      <c r="D20" s="16">
        <f>모니터링결과!H20</f>
        <v>195.2688459</v>
      </c>
      <c r="E20" s="15" t="str">
        <f>모니터링결과!R20</f>
        <v>집유령거미</v>
      </c>
      <c r="F20" s="16" t="str">
        <f>모니터링결과!T20</f>
        <v>간접가해해충</v>
      </c>
      <c r="G20" s="17">
        <f>모니터링결과!U20</f>
        <v>1</v>
      </c>
      <c r="H20" s="16" t="str" cm="1">
        <f t="array" aca="1" ref="H20" ca="1">_xlfn.TEXTJOIN("&lt;br&gt;", TRUE, _xlfn.MAP(_xlfn.SORTBY(_xlfn.UNIQUE(_xlfn._xlws.FILTER(OFFSET($F$2, 0, 0, COUNTA($B:$B)-1), OFFSET($B$2, 0, 0, COUNTA($B:$B)-1)=B20)), MATCH(_xlfn.UNIQUE(_xlfn._xlws.FILTER(OFFSET($F$2, 0, 0, COUNTA($B:$B)-1), OFFSET($B$2, 0, 0, COUNTA($B:$B)-1)=B20)), {"직접가해해충","간접가해해충","위생해충"}, 0)), _xlfn.LAMBDA(_xlpm.type, _xlpm.type &amp; " : " &amp; _xlfn.TEXTJOIN(", ", TRUE, _xlfn._xlws.FILTER(OFFSET($E$2, 0, 0, COUNTA($B:$B)-1)&amp;"("&amp;OFFSET($G$2, 0, 0, COUNTA($B:$B)-1)&amp;")", (OFFSET($B$2, 0, 0, COUNTA($B:$B)-1)=B20)*(OFFSET($F$2, 0, 0, COUNTA($B:$B)-1)=_xlpm.type))))))</f>
        <v>간접가해해충 : 집유령거미(1)</v>
      </c>
    </row>
    <row r="21" spans="1:8">
      <c r="A21" s="18" t="str">
        <f>모니터링결과!F21</f>
        <v>1층</v>
      </c>
      <c r="B21" s="15" t="str">
        <f>모니터링결과!E21</f>
        <v>C52</v>
      </c>
      <c r="C21" s="16">
        <f>모니터링결과!G21</f>
        <v>255.6716596</v>
      </c>
      <c r="D21" s="16">
        <f>모니터링결과!H21</f>
        <v>215.96300919999999</v>
      </c>
      <c r="E21" s="15" t="str">
        <f>모니터링결과!R21</f>
        <v>꼬마거미류</v>
      </c>
      <c r="F21" s="16" t="str">
        <f>모니터링결과!T21</f>
        <v>간접가해해충</v>
      </c>
      <c r="G21" s="17">
        <f>모니터링결과!U21</f>
        <v>1</v>
      </c>
      <c r="H21" s="16" t="str" cm="1">
        <f t="array" aca="1" ref="H21" ca="1">_xlfn.TEXTJOIN("&lt;br&gt;", TRUE, _xlfn.MAP(_xlfn.SORTBY(_xlfn.UNIQUE(_xlfn._xlws.FILTER(OFFSET($F$2, 0, 0, COUNTA($B:$B)-1), OFFSET($B$2, 0, 0, COUNTA($B:$B)-1)=B21)), MATCH(_xlfn.UNIQUE(_xlfn._xlws.FILTER(OFFSET($F$2, 0, 0, COUNTA($B:$B)-1), OFFSET($B$2, 0, 0, COUNTA($B:$B)-1)=B21)), {"직접가해해충","간접가해해충","위생해충"}, 0)), _xlfn.LAMBDA(_xlpm.type, _xlpm.type &amp; " : " &amp; _xlfn.TEXTJOIN(", ", TRUE, _xlfn._xlws.FILTER(OFFSET($E$2, 0, 0, COUNTA($B:$B)-1)&amp;"("&amp;OFFSET($G$2, 0, 0, COUNTA($B:$B)-1)&amp;")", (OFFSET($B$2, 0, 0, COUNTA($B:$B)-1)=B21)*(OFFSET($F$2, 0, 0, COUNTA($B:$B)-1)=_xlpm.type))))))</f>
        <v>간접가해해충 : 꼬마거미류(1)&lt;br&gt;위생해충 : 벼룩파리(1)</v>
      </c>
    </row>
    <row r="22" spans="1:8">
      <c r="A22" s="18" t="str">
        <f>모니터링결과!F22</f>
        <v>1층</v>
      </c>
      <c r="B22" s="15" t="str">
        <f>모니터링결과!E22</f>
        <v>C52</v>
      </c>
      <c r="C22" s="16">
        <f>모니터링결과!G22</f>
        <v>255.6716596</v>
      </c>
      <c r="D22" s="16">
        <f>모니터링결과!H22</f>
        <v>215.96300919999999</v>
      </c>
      <c r="E22" s="15" t="str">
        <f>모니터링결과!R22</f>
        <v>벼룩파리</v>
      </c>
      <c r="F22" s="16" t="str">
        <f>모니터링결과!T22</f>
        <v>위생해충</v>
      </c>
      <c r="G22" s="17">
        <f>모니터링결과!U22</f>
        <v>1</v>
      </c>
      <c r="H22" s="16" t="str" cm="1">
        <f t="array" aca="1" ref="H22" ca="1">_xlfn.TEXTJOIN("&lt;br&gt;", TRUE, _xlfn.MAP(_xlfn.SORTBY(_xlfn.UNIQUE(_xlfn._xlws.FILTER(OFFSET($F$2, 0, 0, COUNTA($B:$B)-1), OFFSET($B$2, 0, 0, COUNTA($B:$B)-1)=B22)), MATCH(_xlfn.UNIQUE(_xlfn._xlws.FILTER(OFFSET($F$2, 0, 0, COUNTA($B:$B)-1), OFFSET($B$2, 0, 0, COUNTA($B:$B)-1)=B22)), {"직접가해해충","간접가해해충","위생해충"}, 0)), _xlfn.LAMBDA(_xlpm.type, _xlpm.type &amp; " : " &amp; _xlfn.TEXTJOIN(", ", TRUE, _xlfn._xlws.FILTER(OFFSET($E$2, 0, 0, COUNTA($B:$B)-1)&amp;"("&amp;OFFSET($G$2, 0, 0, COUNTA($B:$B)-1)&amp;")", (OFFSET($B$2, 0, 0, COUNTA($B:$B)-1)=B22)*(OFFSET($F$2, 0, 0, COUNTA($B:$B)-1)=_xlpm.type))))))</f>
        <v>간접가해해충 : 꼬마거미류(1)&lt;br&gt;위생해충 : 벼룩파리(1)</v>
      </c>
    </row>
    <row r="23" spans="1:8">
      <c r="A23" s="18" t="str">
        <f>모니터링결과!F23</f>
        <v>1층</v>
      </c>
      <c r="B23" s="15" t="str">
        <f>모니터링결과!E23</f>
        <v>C53</v>
      </c>
      <c r="C23" s="16">
        <f>모니터링결과!G23</f>
        <v>255.6716596</v>
      </c>
      <c r="D23" s="16">
        <f>모니터링결과!H23</f>
        <v>224.94093710000001</v>
      </c>
      <c r="E23" s="15" t="str">
        <f>모니터링결과!R23</f>
        <v>집유령거미</v>
      </c>
      <c r="F23" s="16" t="str">
        <f>모니터링결과!T23</f>
        <v>간접가해해충</v>
      </c>
      <c r="G23" s="17">
        <f>모니터링결과!U23</f>
        <v>1</v>
      </c>
      <c r="H23" s="16" t="str" cm="1">
        <f t="array" aca="1" ref="H23" ca="1">_xlfn.TEXTJOIN("&lt;br&gt;", TRUE, _xlfn.MAP(_xlfn.SORTBY(_xlfn.UNIQUE(_xlfn._xlws.FILTER(OFFSET($F$2, 0, 0, COUNTA($B:$B)-1), OFFSET($B$2, 0, 0, COUNTA($B:$B)-1)=B23)), MATCH(_xlfn.UNIQUE(_xlfn._xlws.FILTER(OFFSET($F$2, 0, 0, COUNTA($B:$B)-1), OFFSET($B$2, 0, 0, COUNTA($B:$B)-1)=B23)), {"직접가해해충","간접가해해충","위생해충"}, 0)), _xlfn.LAMBDA(_xlpm.type, _xlpm.type &amp; " : " &amp; _xlfn.TEXTJOIN(", ", TRUE, _xlfn._xlws.FILTER(OFFSET($E$2, 0, 0, COUNTA($B:$B)-1)&amp;"("&amp;OFFSET($G$2, 0, 0, COUNTA($B:$B)-1)&amp;")", (OFFSET($B$2, 0, 0, COUNTA($B:$B)-1)=B23)*(OFFSET($F$2, 0, 0, COUNTA($B:$B)-1)=_xlpm.type))))))</f>
        <v>간접가해해충 : 집유령거미(1), 나방파리류(1)&lt;br&gt;위생해충 : 검정날개버섯파리(1)</v>
      </c>
    </row>
    <row r="24" spans="1:8">
      <c r="A24" s="18" t="str">
        <f>모니터링결과!F24</f>
        <v>1층</v>
      </c>
      <c r="B24" s="15" t="str">
        <f>모니터링결과!E24</f>
        <v>C53</v>
      </c>
      <c r="C24" s="16">
        <f>모니터링결과!G24</f>
        <v>255.6716596</v>
      </c>
      <c r="D24" s="16">
        <f>모니터링결과!H24</f>
        <v>224.94093710000001</v>
      </c>
      <c r="E24" s="15" t="str">
        <f>모니터링결과!R24</f>
        <v>나방파리류</v>
      </c>
      <c r="F24" s="16" t="str">
        <f>모니터링결과!T24</f>
        <v>간접가해해충</v>
      </c>
      <c r="G24" s="17">
        <f>모니터링결과!U24</f>
        <v>1</v>
      </c>
      <c r="H24" s="16" t="str" cm="1">
        <f t="array" aca="1" ref="H24" ca="1">_xlfn.TEXTJOIN("&lt;br&gt;", TRUE, _xlfn.MAP(_xlfn.SORTBY(_xlfn.UNIQUE(_xlfn._xlws.FILTER(OFFSET($F$2, 0, 0, COUNTA($B:$B)-1), OFFSET($B$2, 0, 0, COUNTA($B:$B)-1)=B24)), MATCH(_xlfn.UNIQUE(_xlfn._xlws.FILTER(OFFSET($F$2, 0, 0, COUNTA($B:$B)-1), OFFSET($B$2, 0, 0, COUNTA($B:$B)-1)=B24)), {"직접가해해충","간접가해해충","위생해충"}, 0)), _xlfn.LAMBDA(_xlpm.type, _xlpm.type &amp; " : " &amp; _xlfn.TEXTJOIN(", ", TRUE, _xlfn._xlws.FILTER(OFFSET($E$2, 0, 0, COUNTA($B:$B)-1)&amp;"("&amp;OFFSET($G$2, 0, 0, COUNTA($B:$B)-1)&amp;")", (OFFSET($B$2, 0, 0, COUNTA($B:$B)-1)=B24)*(OFFSET($F$2, 0, 0, COUNTA($B:$B)-1)=_xlpm.type))))))</f>
        <v>간접가해해충 : 집유령거미(1), 나방파리류(1)&lt;br&gt;위생해충 : 검정날개버섯파리(1)</v>
      </c>
    </row>
    <row r="25" spans="1:8">
      <c r="A25" s="18" t="str">
        <f>모니터링결과!F25</f>
        <v>1층</v>
      </c>
      <c r="B25" s="15" t="str">
        <f>모니터링결과!E25</f>
        <v>C53</v>
      </c>
      <c r="C25" s="16">
        <f>모니터링결과!G25</f>
        <v>255.6716596</v>
      </c>
      <c r="D25" s="16">
        <f>모니터링결과!H25</f>
        <v>224.94093710000001</v>
      </c>
      <c r="E25" s="15" t="str">
        <f>모니터링결과!R25</f>
        <v>검정날개버섯파리</v>
      </c>
      <c r="F25" s="16" t="str">
        <f>모니터링결과!T25</f>
        <v>위생해충</v>
      </c>
      <c r="G25" s="17">
        <f>모니터링결과!U25</f>
        <v>1</v>
      </c>
      <c r="H25" s="16" t="str" cm="1">
        <f t="array" aca="1" ref="H25" ca="1">_xlfn.TEXTJOIN("&lt;br&gt;", TRUE, _xlfn.MAP(_xlfn.SORTBY(_xlfn.UNIQUE(_xlfn._xlws.FILTER(OFFSET($F$2, 0, 0, COUNTA($B:$B)-1), OFFSET($B$2, 0, 0, COUNTA($B:$B)-1)=B25)), MATCH(_xlfn.UNIQUE(_xlfn._xlws.FILTER(OFFSET($F$2, 0, 0, COUNTA($B:$B)-1), OFFSET($B$2, 0, 0, COUNTA($B:$B)-1)=B25)), {"직접가해해충","간접가해해충","위생해충"}, 0)), _xlfn.LAMBDA(_xlpm.type, _xlpm.type &amp; " : " &amp; _xlfn.TEXTJOIN(", ", TRUE, _xlfn._xlws.FILTER(OFFSET($E$2, 0, 0, COUNTA($B:$B)-1)&amp;"("&amp;OFFSET($G$2, 0, 0, COUNTA($B:$B)-1)&amp;")", (OFFSET($B$2, 0, 0, COUNTA($B:$B)-1)=B25)*(OFFSET($F$2, 0, 0, COUNTA($B:$B)-1)=_xlpm.type))))))</f>
        <v>간접가해해충 : 집유령거미(1), 나방파리류(1)&lt;br&gt;위생해충 : 검정날개버섯파리(1)</v>
      </c>
    </row>
    <row r="26" spans="1:8">
      <c r="A26" s="18" t="str">
        <f>모니터링결과!F26</f>
        <v>1층</v>
      </c>
      <c r="B26" s="15" t="str">
        <f>모니터링결과!E26</f>
        <v>C55</v>
      </c>
      <c r="C26" s="16">
        <f>모니터링결과!G26</f>
        <v>265.50251839999999</v>
      </c>
      <c r="D26" s="16">
        <f>모니터링결과!H26</f>
        <v>270.34656219999999</v>
      </c>
      <c r="E26" s="15" t="str">
        <f>모니터링결과!R26</f>
        <v>검정날개버섯파리</v>
      </c>
      <c r="F26" s="16" t="str">
        <f>모니터링결과!T26</f>
        <v>위생해충</v>
      </c>
      <c r="G26" s="17">
        <f>모니터링결과!U26</f>
        <v>1</v>
      </c>
      <c r="H26" s="16" t="str" cm="1">
        <f t="array" aca="1" ref="H26" ca="1">_xlfn.TEXTJOIN("&lt;br&gt;", TRUE, _xlfn.MAP(_xlfn.SORTBY(_xlfn.UNIQUE(_xlfn._xlws.FILTER(OFFSET($F$2, 0, 0, COUNTA($B:$B)-1), OFFSET($B$2, 0, 0, COUNTA($B:$B)-1)=B26)), MATCH(_xlfn.UNIQUE(_xlfn._xlws.FILTER(OFFSET($F$2, 0, 0, COUNTA($B:$B)-1), OFFSET($B$2, 0, 0, COUNTA($B:$B)-1)=B26)), {"직접가해해충","간접가해해충","위생해충"}, 0)), _xlfn.LAMBDA(_xlpm.type, _xlpm.type &amp; " : " &amp; _xlfn.TEXTJOIN(", ", TRUE, _xlfn._xlws.FILTER(OFFSET($E$2, 0, 0, COUNTA($B:$B)-1)&amp;"("&amp;OFFSET($G$2, 0, 0, COUNTA($B:$B)-1)&amp;")", (OFFSET($B$2, 0, 0, COUNTA($B:$B)-1)=B26)*(OFFSET($F$2, 0, 0, COUNTA($B:$B)-1)=_xlpm.type))))))</f>
        <v>간접가해해충 : 집유령거미(2)&lt;br&gt;위생해충 : 검정날개버섯파리(1), 나방파리류(2)</v>
      </c>
    </row>
    <row r="27" spans="1:8">
      <c r="A27" s="18" t="str">
        <f>모니터링결과!F27</f>
        <v>1층</v>
      </c>
      <c r="B27" s="15" t="str">
        <f>모니터링결과!E27</f>
        <v>C55</v>
      </c>
      <c r="C27" s="16">
        <f>모니터링결과!G27</f>
        <v>265.50251839999999</v>
      </c>
      <c r="D27" s="16">
        <f>모니터링결과!H27</f>
        <v>270.34656219999999</v>
      </c>
      <c r="E27" s="15" t="str">
        <f>모니터링결과!R27</f>
        <v>나방파리류</v>
      </c>
      <c r="F27" s="16" t="str">
        <f>모니터링결과!T27</f>
        <v>위생해충</v>
      </c>
      <c r="G27" s="17">
        <f>모니터링결과!U27</f>
        <v>2</v>
      </c>
      <c r="H27" s="16" t="str" cm="1">
        <f t="array" aca="1" ref="H27" ca="1">_xlfn.TEXTJOIN("&lt;br&gt;", TRUE, _xlfn.MAP(_xlfn.SORTBY(_xlfn.UNIQUE(_xlfn._xlws.FILTER(OFFSET($F$2, 0, 0, COUNTA($B:$B)-1), OFFSET($B$2, 0, 0, COUNTA($B:$B)-1)=B27)), MATCH(_xlfn.UNIQUE(_xlfn._xlws.FILTER(OFFSET($F$2, 0, 0, COUNTA($B:$B)-1), OFFSET($B$2, 0, 0, COUNTA($B:$B)-1)=B27)), {"직접가해해충","간접가해해충","위생해충"}, 0)), _xlfn.LAMBDA(_xlpm.type, _xlpm.type &amp; " : " &amp; _xlfn.TEXTJOIN(", ", TRUE, _xlfn._xlws.FILTER(OFFSET($E$2, 0, 0, COUNTA($B:$B)-1)&amp;"("&amp;OFFSET($G$2, 0, 0, COUNTA($B:$B)-1)&amp;")", (OFFSET($B$2, 0, 0, COUNTA($B:$B)-1)=B27)*(OFFSET($F$2, 0, 0, COUNTA($B:$B)-1)=_xlpm.type))))))</f>
        <v>간접가해해충 : 집유령거미(2)&lt;br&gt;위생해충 : 검정날개버섯파리(1), 나방파리류(2)</v>
      </c>
    </row>
    <row r="28" spans="1:8">
      <c r="A28" s="18" t="str">
        <f>모니터링결과!F28</f>
        <v>1층</v>
      </c>
      <c r="B28" s="15" t="str">
        <f>모니터링결과!E28</f>
        <v>C55</v>
      </c>
      <c r="C28" s="16">
        <f>모니터링결과!G28</f>
        <v>265.50251839999999</v>
      </c>
      <c r="D28" s="16">
        <f>모니터링결과!H28</f>
        <v>270.34656219999999</v>
      </c>
      <c r="E28" s="15" t="str">
        <f>모니터링결과!R28</f>
        <v>집유령거미</v>
      </c>
      <c r="F28" s="16" t="str">
        <f>모니터링결과!T28</f>
        <v>간접가해해충</v>
      </c>
      <c r="G28" s="17">
        <f>모니터링결과!U28</f>
        <v>2</v>
      </c>
      <c r="H28" s="16" t="str" cm="1">
        <f t="array" aca="1" ref="H28" ca="1">_xlfn.TEXTJOIN("&lt;br&gt;", TRUE, _xlfn.MAP(_xlfn.SORTBY(_xlfn.UNIQUE(_xlfn._xlws.FILTER(OFFSET($F$2, 0, 0, COUNTA($B:$B)-1), OFFSET($B$2, 0, 0, COUNTA($B:$B)-1)=B28)), MATCH(_xlfn.UNIQUE(_xlfn._xlws.FILTER(OFFSET($F$2, 0, 0, COUNTA($B:$B)-1), OFFSET($B$2, 0, 0, COUNTA($B:$B)-1)=B28)), {"직접가해해충","간접가해해충","위생해충"}, 0)), _xlfn.LAMBDA(_xlpm.type, _xlpm.type &amp; " : " &amp; _xlfn.TEXTJOIN(", ", TRUE, _xlfn._xlws.FILTER(OFFSET($E$2, 0, 0, COUNTA($B:$B)-1)&amp;"("&amp;OFFSET($G$2, 0, 0, COUNTA($B:$B)-1)&amp;")", (OFFSET($B$2, 0, 0, COUNTA($B:$B)-1)=B28)*(OFFSET($F$2, 0, 0, COUNTA($B:$B)-1)=_xlpm.type))))))</f>
        <v>간접가해해충 : 집유령거미(2)&lt;br&gt;위생해충 : 검정날개버섯파리(1), 나방파리류(2)</v>
      </c>
    </row>
    <row r="29" spans="1:8">
      <c r="A29" s="18" t="str">
        <f>모니터링결과!F29</f>
        <v>1층</v>
      </c>
      <c r="B29" s="15" t="str">
        <f>모니터링결과!E29</f>
        <v>C56</v>
      </c>
      <c r="C29" s="16">
        <f>모니터링결과!G29</f>
        <v>279.1483806</v>
      </c>
      <c r="D29" s="16">
        <f>모니터링결과!H29</f>
        <v>270.34656219999999</v>
      </c>
      <c r="E29" s="15" t="str">
        <f>모니터링결과!R29</f>
        <v>꼬마거미류</v>
      </c>
      <c r="F29" s="16" t="str">
        <f>모니터링결과!T29</f>
        <v>간접가해해충</v>
      </c>
      <c r="G29" s="17">
        <f>모니터링결과!U29</f>
        <v>1</v>
      </c>
      <c r="H29" s="16" t="str" cm="1">
        <f t="array" aca="1" ref="H29" ca="1">_xlfn.TEXTJOIN("&lt;br&gt;", TRUE, _xlfn.MAP(_xlfn.SORTBY(_xlfn.UNIQUE(_xlfn._xlws.FILTER(OFFSET($F$2, 0, 0, COUNTA($B:$B)-1), OFFSET($B$2, 0, 0, COUNTA($B:$B)-1)=B29)), MATCH(_xlfn.UNIQUE(_xlfn._xlws.FILTER(OFFSET($F$2, 0, 0, COUNTA($B:$B)-1), OFFSET($B$2, 0, 0, COUNTA($B:$B)-1)=B29)), {"직접가해해충","간접가해해충","위생해충"}, 0)), _xlfn.LAMBDA(_xlpm.type, _xlpm.type &amp; " : " &amp; _xlfn.TEXTJOIN(", ", TRUE, _xlfn._xlws.FILTER(OFFSET($E$2, 0, 0, COUNTA($B:$B)-1)&amp;"("&amp;OFFSET($G$2, 0, 0, COUNTA($B:$B)-1)&amp;")", (OFFSET($B$2, 0, 0, COUNTA($B:$B)-1)=B29)*(OFFSET($F$2, 0, 0, COUNTA($B:$B)-1)=_xlpm.type))))))</f>
        <v>간접가해해충 : 꼬마거미류(1)&lt;br&gt;위생해충 : 혹파리류(1)</v>
      </c>
    </row>
    <row r="30" spans="1:8">
      <c r="A30" s="18" t="str">
        <f>모니터링결과!F30</f>
        <v>1층</v>
      </c>
      <c r="B30" s="15" t="str">
        <f>모니터링결과!E30</f>
        <v>C56</v>
      </c>
      <c r="C30" s="16">
        <f>모니터링결과!G30</f>
        <v>279.1483806</v>
      </c>
      <c r="D30" s="16">
        <f>모니터링결과!H30</f>
        <v>270.34656219999999</v>
      </c>
      <c r="E30" s="15" t="str">
        <f>모니터링결과!R30</f>
        <v>혹파리류</v>
      </c>
      <c r="F30" s="16" t="str">
        <f>모니터링결과!T30</f>
        <v>위생해충</v>
      </c>
      <c r="G30" s="17">
        <f>모니터링결과!U30</f>
        <v>1</v>
      </c>
      <c r="H30" s="16" t="str" cm="1">
        <f t="array" aca="1" ref="H30" ca="1">_xlfn.TEXTJOIN("&lt;br&gt;", TRUE, _xlfn.MAP(_xlfn.SORTBY(_xlfn.UNIQUE(_xlfn._xlws.FILTER(OFFSET($F$2, 0, 0, COUNTA($B:$B)-1), OFFSET($B$2, 0, 0, COUNTA($B:$B)-1)=B30)), MATCH(_xlfn.UNIQUE(_xlfn._xlws.FILTER(OFFSET($F$2, 0, 0, COUNTA($B:$B)-1), OFFSET($B$2, 0, 0, COUNTA($B:$B)-1)=B30)), {"직접가해해충","간접가해해충","위생해충"}, 0)), _xlfn.LAMBDA(_xlpm.type, _xlpm.type &amp; " : " &amp; _xlfn.TEXTJOIN(", ", TRUE, _xlfn._xlws.FILTER(OFFSET($E$2, 0, 0, COUNTA($B:$B)-1)&amp;"("&amp;OFFSET($G$2, 0, 0, COUNTA($B:$B)-1)&amp;")", (OFFSET($B$2, 0, 0, COUNTA($B:$B)-1)=B30)*(OFFSET($F$2, 0, 0, COUNTA($B:$B)-1)=_xlpm.type))))))</f>
        <v>간접가해해충 : 꼬마거미류(1)&lt;br&gt;위생해충 : 혹파리류(1)</v>
      </c>
    </row>
    <row r="31" spans="1:8">
      <c r="A31" s="18" t="str">
        <f>모니터링결과!F31</f>
        <v>1층</v>
      </c>
      <c r="B31" s="15" t="str">
        <f>모니터링결과!E31</f>
        <v>C58</v>
      </c>
      <c r="C31" s="16">
        <f>모니터링결과!G31</f>
        <v>279.1483806</v>
      </c>
      <c r="D31" s="16">
        <f>모니터링결과!H31</f>
        <v>172.85977199999999</v>
      </c>
      <c r="E31" s="15" t="str">
        <f>모니터링결과!R31</f>
        <v>꼬마거미류</v>
      </c>
      <c r="F31" s="16" t="str">
        <f>모니터링결과!T31</f>
        <v>간접가해해충</v>
      </c>
      <c r="G31" s="17">
        <f>모니터링결과!U31</f>
        <v>3</v>
      </c>
      <c r="H31" s="16" t="str" cm="1">
        <f t="array" aca="1" ref="H31" ca="1">_xlfn.TEXTJOIN("&lt;br&gt;", TRUE, _xlfn.MAP(_xlfn.SORTBY(_xlfn.UNIQUE(_xlfn._xlws.FILTER(OFFSET($F$2, 0, 0, COUNTA($B:$B)-1), OFFSET($B$2, 0, 0, COUNTA($B:$B)-1)=B31)), MATCH(_xlfn.UNIQUE(_xlfn._xlws.FILTER(OFFSET($F$2, 0, 0, COUNTA($B:$B)-1), OFFSET($B$2, 0, 0, COUNTA($B:$B)-1)=B31)), {"직접가해해충","간접가해해충","위생해충"}, 0)), _xlfn.LAMBDA(_xlpm.type, _xlpm.type &amp; " : " &amp; _xlfn.TEXTJOIN(", ", TRUE, _xlfn._xlws.FILTER(OFFSET($E$2, 0, 0, COUNTA($B:$B)-1)&amp;"("&amp;OFFSET($G$2, 0, 0, COUNTA($B:$B)-1)&amp;")", (OFFSET($B$2, 0, 0, COUNTA($B:$B)-1)=B31)*(OFFSET($F$2, 0, 0, COUNTA($B:$B)-1)=_xlpm.type))))))</f>
        <v>간접가해해충 : 꼬마거미류(3)</v>
      </c>
    </row>
    <row r="32" spans="1:8">
      <c r="A32" s="18" t="str">
        <f>모니터링결과!F32</f>
        <v>1층</v>
      </c>
      <c r="B32" s="15" t="str">
        <f>모니터링결과!E32</f>
        <v>C60</v>
      </c>
      <c r="C32" s="16">
        <f>모니터링결과!G32</f>
        <v>227.44100309999999</v>
      </c>
      <c r="D32" s="16">
        <f>모니터링결과!H32</f>
        <v>172.26588520000001</v>
      </c>
      <c r="E32" s="15" t="str">
        <f>모니터링결과!R32</f>
        <v>한국깔때기거미</v>
      </c>
      <c r="F32" s="16" t="str">
        <f>모니터링결과!T32</f>
        <v>간접가해해충</v>
      </c>
      <c r="G32" s="17">
        <f>모니터링결과!U32</f>
        <v>1</v>
      </c>
      <c r="H32" s="16" t="str" cm="1">
        <f t="array" aca="1" ref="H32" ca="1">_xlfn.TEXTJOIN("&lt;br&gt;", TRUE, _xlfn.MAP(_xlfn.SORTBY(_xlfn.UNIQUE(_xlfn._xlws.FILTER(OFFSET($F$2, 0, 0, COUNTA($B:$B)-1), OFFSET($B$2, 0, 0, COUNTA($B:$B)-1)=B32)), MATCH(_xlfn.UNIQUE(_xlfn._xlws.FILTER(OFFSET($F$2, 0, 0, COUNTA($B:$B)-1), OFFSET($B$2, 0, 0, COUNTA($B:$B)-1)=B32)), {"직접가해해충","간접가해해충","위생해충"}, 0)), _xlfn.LAMBDA(_xlpm.type, _xlpm.type &amp; " : " &amp; _xlfn.TEXTJOIN(", ", TRUE, _xlfn._xlws.FILTER(OFFSET($E$2, 0, 0, COUNTA($B:$B)-1)&amp;"("&amp;OFFSET($G$2, 0, 0, COUNTA($B:$B)-1)&amp;")", (OFFSET($B$2, 0, 0, COUNTA($B:$B)-1)=B32)*(OFFSET($F$2, 0, 0, COUNTA($B:$B)-1)=_xlpm.type))))))</f>
        <v>간접가해해충 : 한국깔때기거미(1)&lt;br&gt;위생해충 : 혹파리류(1)</v>
      </c>
    </row>
    <row r="33" spans="1:8">
      <c r="A33" s="18" t="str">
        <f>모니터링결과!F33</f>
        <v>1층</v>
      </c>
      <c r="B33" s="15" t="str">
        <f>모니터링결과!E33</f>
        <v>C60</v>
      </c>
      <c r="C33" s="16">
        <f>모니터링결과!G33</f>
        <v>227.44100309999999</v>
      </c>
      <c r="D33" s="16">
        <f>모니터링결과!H33</f>
        <v>172.26588520000001</v>
      </c>
      <c r="E33" s="15" t="str">
        <f>모니터링결과!R33</f>
        <v>혹파리류</v>
      </c>
      <c r="F33" s="16" t="str">
        <f>모니터링결과!T33</f>
        <v>위생해충</v>
      </c>
      <c r="G33" s="17">
        <f>모니터링결과!U33</f>
        <v>1</v>
      </c>
      <c r="H33" s="16" t="str" cm="1">
        <f t="array" aca="1" ref="H33" ca="1">_xlfn.TEXTJOIN("&lt;br&gt;", TRUE, _xlfn.MAP(_xlfn.SORTBY(_xlfn.UNIQUE(_xlfn._xlws.FILTER(OFFSET($F$2, 0, 0, COUNTA($B:$B)-1), OFFSET($B$2, 0, 0, COUNTA($B:$B)-1)=B33)), MATCH(_xlfn.UNIQUE(_xlfn._xlws.FILTER(OFFSET($F$2, 0, 0, COUNTA($B:$B)-1), OFFSET($B$2, 0, 0, COUNTA($B:$B)-1)=B33)), {"직접가해해충","간접가해해충","위생해충"}, 0)), _xlfn.LAMBDA(_xlpm.type, _xlpm.type &amp; " : " &amp; _xlfn.TEXTJOIN(", ", TRUE, _xlfn._xlws.FILTER(OFFSET($E$2, 0, 0, COUNTA($B:$B)-1)&amp;"("&amp;OFFSET($G$2, 0, 0, COUNTA($B:$B)-1)&amp;")", (OFFSET($B$2, 0, 0, COUNTA($B:$B)-1)=B33)*(OFFSET($F$2, 0, 0, COUNTA($B:$B)-1)=_xlpm.type))))))</f>
        <v>간접가해해충 : 한국깔때기거미(1)&lt;br&gt;위생해충 : 혹파리류(1)</v>
      </c>
    </row>
    <row r="34" spans="1:8">
      <c r="A34" s="18" t="str">
        <f>모니터링결과!F34</f>
        <v>1층</v>
      </c>
      <c r="B34" s="15" t="str">
        <f>모니터링결과!E34</f>
        <v>F03</v>
      </c>
      <c r="C34" s="16">
        <f>모니터링결과!G34</f>
        <v>286.05632659999998</v>
      </c>
      <c r="D34" s="16">
        <f>모니터링결과!H34</f>
        <v>185.09233620000001</v>
      </c>
      <c r="E34" s="15" t="str">
        <f>모니터링결과!R34</f>
        <v>벼룩파리</v>
      </c>
      <c r="F34" s="16" t="str">
        <f>모니터링결과!T34</f>
        <v>위생해충</v>
      </c>
      <c r="G34" s="17">
        <f>모니터링결과!U34</f>
        <v>3</v>
      </c>
      <c r="H34" s="16" t="str" cm="1">
        <f t="array" aca="1" ref="H34" ca="1">_xlfn.TEXTJOIN("&lt;br&gt;", TRUE, _xlfn.MAP(_xlfn.SORTBY(_xlfn.UNIQUE(_xlfn._xlws.FILTER(OFFSET($F$2, 0, 0, COUNTA($B:$B)-1), OFFSET($B$2, 0, 0, COUNTA($B:$B)-1)=B34)), MATCH(_xlfn.UNIQUE(_xlfn._xlws.FILTER(OFFSET($F$2, 0, 0, COUNTA($B:$B)-1), OFFSET($B$2, 0, 0, COUNTA($B:$B)-1)=B34)), {"직접가해해충","간접가해해충","위생해충"}, 0)), _xlfn.LAMBDA(_xlpm.type, _xlpm.type &amp; " : " &amp; _xlfn.TEXTJOIN(", ", TRUE, _xlfn._xlws.FILTER(OFFSET($E$2, 0, 0, COUNTA($B:$B)-1)&amp;"("&amp;OFFSET($G$2, 0, 0, COUNTA($B:$B)-1)&amp;")", (OFFSET($B$2, 0, 0, COUNTA($B:$B)-1)=B34)*(OFFSET($F$2, 0, 0, COUNTA($B:$B)-1)=_xlpm.type))))))</f>
        <v>위생해충 : 벼룩파리(3)</v>
      </c>
    </row>
    <row r="35" spans="1:8">
      <c r="B35" s="15"/>
      <c r="E35" s="15"/>
      <c r="G35" s="17"/>
    </row>
    <row r="36" spans="1:8">
      <c r="B36" s="15"/>
      <c r="E36" s="15"/>
      <c r="G36" s="17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기본정보</vt:lpstr>
      <vt:lpstr>모니터링결과</vt:lpstr>
      <vt:lpstr>Flouris용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주목 이</dc:creator>
  <cp:lastModifiedBy>주목 이</cp:lastModifiedBy>
  <dcterms:created xsi:type="dcterms:W3CDTF">2026-03-04T05:05:32Z</dcterms:created>
  <dcterms:modified xsi:type="dcterms:W3CDTF">2026-06-04T07:52:54Z</dcterms:modified>
</cp:coreProperties>
</file>